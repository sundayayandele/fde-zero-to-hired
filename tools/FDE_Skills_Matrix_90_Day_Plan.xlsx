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kills Matrix" sheetId="2" state="visible" r:id="rId4"/>
    <sheet name="Cluster Summary" sheetId="3" state="visible" r:id="rId5"/>
    <sheet name="90-Day Plan" sheetId="4" state="visible" r:id="rId6"/>
  </sheets>
  <definedNames>
    <definedName function="false" hidden="true" localSheetId="1" name="_xlnm._FilterDatabase" vbProcedure="false">'Skills Matrix'!$A$4:$N$34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<sst xmlns="http://schemas.openxmlformats.org/spreadsheetml/2006/main" count="351" uniqueCount="277">
  <si>
    <t xml:space="preserve">Forward Deployed ML Engineer — Skills Matrix &amp; 90-Day Plan</t>
  </si>
  <si>
    <t xml:space="preserve">Calibrated against Mistral's Applied AI / Forward Deployed ML Engineer posting and comparable 2026 FDE roles (OpenAI, Anthropic, Cohere, Modal, Reflection).</t>
  </si>
  <si>
    <t xml:space="preserve">How to use</t>
  </si>
  <si>
    <t xml:space="preserve">1. Skills Matrix tab: enter your rating (1–5) in the yellow 'Self-rating (now)' column. Optionally note evidence you can already show.</t>
  </si>
  <si>
    <t xml:space="preserve">2. Gap, priority score and band calculate automatically. Sort or filter by 'Priority score' to see what to work on first.</t>
  </si>
  <si>
    <t xml:space="preserve">3. Cluster Summary tab rolls everything up by cluster — no inputs needed there.</t>
  </si>
  <si>
    <t xml:space="preserve">4. 90-Day Plan tab: set your start date (yellow cell), then update Status weekly. Progress % updates automatically.</t>
  </si>
  <si>
    <t xml:space="preserve">5. At day 90, fill 'Re-rating (day 90)'. Gaps then recalculate from the newer rating.</t>
  </si>
  <si>
    <t xml:space="preserve">Yellow cells are the only cells you need to edit. Everything else is formula-driven.</t>
  </si>
  <si>
    <t xml:space="preserve">Rating scale (self-rating and target)</t>
  </si>
  <si>
    <t xml:space="preserve">Level</t>
  </si>
  <si>
    <t xml:space="preserve">Label</t>
  </si>
  <si>
    <t xml:space="preserve">What it means</t>
  </si>
  <si>
    <t xml:space="preserve">Aware</t>
  </si>
  <si>
    <t xml:space="preserve">Know what it is; have read about it.</t>
  </si>
  <si>
    <t xml:space="preserve">Tried</t>
  </si>
  <si>
    <t xml:space="preserve">Followed a tutorial or built a toy example.</t>
  </si>
  <si>
    <t xml:space="preserve">Working</t>
  </si>
  <si>
    <t xml:space="preserve">Used it on a real project with some help; can explain trade-offs.</t>
  </si>
  <si>
    <t xml:space="preserve">Production</t>
  </si>
  <si>
    <t xml:space="preserve">Shipped it to production independently; can defend choices to a customer.</t>
  </si>
  <si>
    <t xml:space="preserve">Expert</t>
  </si>
  <si>
    <t xml:space="preserve">Teach it, set patterns for others, contribute upstream / publicly.</t>
  </si>
  <si>
    <t xml:space="preserve">Scoring logic</t>
  </si>
  <si>
    <t xml:space="preserve">Gap = Target − latest self-rating (never below 0). Latest = day-90 re-rating if filled, otherwise the 'now' rating.</t>
  </si>
  <si>
    <t xml:space="preserve">Weight (1–3) = how heavily the role screens for the skill: 3 = core/interview filter, 2 = expected, 1 = differentiator.</t>
  </si>
  <si>
    <t xml:space="preserve">Priority score = Gap × Weight (0–12).  Bands: High ≥ 6 · Medium 3–5 · Low 1–2 · On target = 0.</t>
  </si>
  <si>
    <t xml:space="preserve">Assumption: targets and weights are Claude's calibration from the job postings researched on 11 Oct 2026, not published by Mistral. Adjust them if you disagree.</t>
  </si>
  <si>
    <t xml:space="preserve">Example row (format only — not your data)</t>
  </si>
  <si>
    <t xml:space="preserve">Skill</t>
  </si>
  <si>
    <t xml:space="preserve">Target</t>
  </si>
  <si>
    <t xml:space="preserve">Weight</t>
  </si>
  <si>
    <t xml:space="preserve">Self-rating (now)</t>
  </si>
  <si>
    <t xml:space="preserve">Gap</t>
  </si>
  <si>
    <t xml:space="preserve">Priority score</t>
  </si>
  <si>
    <t xml:space="preserve">Band</t>
  </si>
  <si>
    <t xml:space="preserve">Evidence you can show</t>
  </si>
  <si>
    <t xml:space="preserve">LLM serving with vLLM</t>
  </si>
  <si>
    <t xml:space="preserve">High</t>
  </si>
  <si>
    <t xml:space="preserve">Ran vLLM locally on one GPU; no production deployment yet</t>
  </si>
  <si>
    <t xml:space="preserve">Skills Matrix — Forward Deployed ML Engineer</t>
  </si>
  <si>
    <t xml:space="preserve">Edit only the yellow columns. Targets/weights are Claude's calibration from Oct 2026 postings — adjust if you disagree.</t>
  </si>
  <si>
    <t xml:space="preserve">ID</t>
  </si>
  <si>
    <t xml:space="preserve">Cluster</t>
  </si>
  <si>
    <t xml:space="preserve">What the role asks for</t>
  </si>
  <si>
    <t xml:space="preserve">Target (1–5)</t>
  </si>
  <si>
    <t xml:space="preserve">Weight (1–3)</t>
  </si>
  <si>
    <t xml:space="preserve">Re-rating (day 90)</t>
  </si>
  <si>
    <t xml:space="preserve">How to close the gap</t>
  </si>
  <si>
    <t xml:space="preserve">Plan week(s)</t>
  </si>
  <si>
    <t xml:space="preserve">A1</t>
  </si>
  <si>
    <t xml:space="preserve">A. LLM application engineering</t>
  </si>
  <si>
    <t xml:space="preserve">Advanced RAG</t>
  </si>
  <si>
    <t xml:space="preserve">Hybrid search, reranking, chunking strategy, query rewriting, agentic retrieval</t>
  </si>
  <si>
    <t xml:space="preserve">Build hybrid retrieval + reranker baseline and measure it</t>
  </si>
  <si>
    <t xml:space="preserve">W4</t>
  </si>
  <si>
    <t xml:space="preserve">A2</t>
  </si>
  <si>
    <t xml:space="preserve">Agentic workflows</t>
  </si>
  <si>
    <t xml:space="preserve">Multi-step agents (ReAct / plan-and-execute), state, guardrails, failure handling</t>
  </si>
  <si>
    <t xml:space="preserve">Tool-using agent on your own served model, with guardrails</t>
  </si>
  <si>
    <t xml:space="preserve">W9</t>
  </si>
  <si>
    <t xml:space="preserve">A3</t>
  </si>
  <si>
    <t xml:space="preserve">Tool calling, structured outputs &amp; MCP</t>
  </si>
  <si>
    <t xml:space="preserve">Function calling reliability, JSON schemas, MCP servers</t>
  </si>
  <si>
    <t xml:space="preserve">Expose agent tools via MCP; test schema adherence</t>
  </si>
  <si>
    <t xml:space="preserve">A4</t>
  </si>
  <si>
    <t xml:space="preserve">Prompt &amp; context engineering</t>
  </si>
  <si>
    <t xml:space="preserve">Systematic prompt iteration measured against evals</t>
  </si>
  <si>
    <t xml:space="preserve">Prompt-only baseline scored on golden set</t>
  </si>
  <si>
    <t xml:space="preserve">W3</t>
  </si>
  <si>
    <t xml:space="preserve">A5</t>
  </si>
  <si>
    <t xml:space="preserve">Mistral product &amp; model portfolio</t>
  </si>
  <si>
    <t xml:space="preserve">Explain Mistral API, agents, document/OCR and enterprise offerings and model line-up to stakeholders (verify current portfolio)</t>
  </si>
  <si>
    <t xml:space="preserve">Use Mistral API for baseline; build a 1-page model/product cheat sheet</t>
  </si>
  <si>
    <t xml:space="preserve">B1</t>
  </si>
  <si>
    <t xml:space="preserve">B. Model customization</t>
  </si>
  <si>
    <t xml:space="preserve">Transformer internals</t>
  </si>
  <si>
    <t xml:space="preserve">Attention, KV cache, tokenization, MoE, context-length trade-offs</t>
  </si>
  <si>
    <t xml:space="preserve">Implement attention from scratch; read Mistral 7B / Mixtral papers</t>
  </si>
  <si>
    <t xml:space="preserve">W2</t>
  </si>
  <si>
    <t xml:space="preserve">B2</t>
  </si>
  <si>
    <t xml:space="preserve">PyTorch fundamentals</t>
  </si>
  <si>
    <t xml:space="preserve">Training loops, autograd, mixed precision, basic distributed training</t>
  </si>
  <si>
    <t xml:space="preserve">Write a training loop from scratch; debug a fine-tune run</t>
  </si>
  <si>
    <t xml:space="preserve">W1, W2, W6</t>
  </si>
  <si>
    <t xml:space="preserve">B3</t>
  </si>
  <si>
    <t xml:space="preserve">Supervised fine-tuning (LoRA / QLoRA)</t>
  </si>
  <si>
    <t xml:space="preserve">PEFT, TRL, mistral-finetune; hyper-parameters; shipped a fine-tuned model</t>
  </si>
  <si>
    <t xml:space="preserve">LoRA/QLoRA SFT of a small open Mistral model vs baseline</t>
  </si>
  <si>
    <t xml:space="preserve">W6</t>
  </si>
  <si>
    <t xml:space="preserve">B4</t>
  </si>
  <si>
    <t xml:space="preserve">Preference tuning (DPO / ORPO), RFT awareness</t>
  </si>
  <si>
    <t xml:space="preserve">Preference data, DPO runs, when RL fine-tuning is worth it</t>
  </si>
  <si>
    <t xml:space="preserve">One DPO pass on top of SFT; compare on evals</t>
  </si>
  <si>
    <t xml:space="preserve">W7</t>
  </si>
  <si>
    <t xml:space="preserve">B5</t>
  </si>
  <si>
    <t xml:space="preserve">Dataset curation &amp; synthetic data</t>
  </si>
  <si>
    <t xml:space="preserve">Cleaning, dedup, labeling strategy, synthetic data generation and filtering</t>
  </si>
  <si>
    <t xml:space="preserve">Build SFT + preference datasets for your use case</t>
  </si>
  <si>
    <t xml:space="preserve">W5</t>
  </si>
  <si>
    <t xml:space="preserve">B6</t>
  </si>
  <si>
    <t xml:space="preserve">Embedding / reranker fine-tuning</t>
  </si>
  <si>
    <t xml:space="preserve">Domain-adapting retrieval models</t>
  </si>
  <si>
    <t xml:space="preserve">Optional stretch: fine-tune a reranker in W4/W5</t>
  </si>
  <si>
    <t xml:space="preserve">W4 (stretch)</t>
  </si>
  <si>
    <t xml:space="preserve">B7</t>
  </si>
  <si>
    <t xml:space="preserve">Prompt vs RAG vs fine-tune judgement</t>
  </si>
  <si>
    <t xml:space="preserve">Choosing the cheapest approach that meets the bar; defending it to a customer</t>
  </si>
  <si>
    <t xml:space="preserve">Document the decision with numbers from your three baselines</t>
  </si>
  <si>
    <t xml:space="preserve">W1, W7</t>
  </si>
  <si>
    <t xml:space="preserve">C1</t>
  </si>
  <si>
    <t xml:space="preserve">C. Evaluation</t>
  </si>
  <si>
    <t xml:space="preserve">Task-specific eval design</t>
  </si>
  <si>
    <t xml:space="preserve">Golden sets, baselines, metrics tied to business outcome</t>
  </si>
  <si>
    <t xml:space="preserve">100–200 item golden set before any building</t>
  </si>
  <si>
    <t xml:space="preserve">C2</t>
  </si>
  <si>
    <t xml:space="preserve">LLM-as-judge with rubrics</t>
  </si>
  <si>
    <t xml:space="preserve">Rubric design, judge calibration against human labels, stratified sampling</t>
  </si>
  <si>
    <t xml:space="preserve">Calibrate a judge against ~50 hand labels</t>
  </si>
  <si>
    <t xml:space="preserve">W3, W7</t>
  </si>
  <si>
    <t xml:space="preserve">C3</t>
  </si>
  <si>
    <t xml:space="preserve">RAG evaluation</t>
  </si>
  <si>
    <t xml:space="preserve">Retrieval recall/precision, faithfulness, answer relevance</t>
  </si>
  <si>
    <t xml:space="preserve">Add retrieval + faithfulness metrics to harness</t>
  </si>
  <si>
    <t xml:space="preserve">C4</t>
  </si>
  <si>
    <t xml:space="preserve">Regression testing &amp; online monitoring</t>
  </si>
  <si>
    <t xml:space="preserve">Eval in CI for prompt/model changes; production feedback loop</t>
  </si>
  <si>
    <t xml:space="preserve">Eval suite runs on every change in CI</t>
  </si>
  <si>
    <t xml:space="preserve">W11</t>
  </si>
  <si>
    <t xml:space="preserve">D1</t>
  </si>
  <si>
    <t xml:space="preserve">D. Inference &amp; deployment</t>
  </si>
  <si>
    <t xml:space="preserve">LLM serving (vLLM / SGLang / TGI)</t>
  </si>
  <si>
    <t xml:space="preserve">Batching, KV cache, throughput vs latency tuning</t>
  </si>
  <si>
    <t xml:space="preserve">Serve fine-tuned model with vLLM; benchmark</t>
  </si>
  <si>
    <t xml:space="preserve">W8</t>
  </si>
  <si>
    <t xml:space="preserve">D2</t>
  </si>
  <si>
    <t xml:space="preserve">Quantization &amp; GPU sizing / cost</t>
  </si>
  <si>
    <t xml:space="preserve">AWQ/GPTQ/FP8, memory math, cost per 1k requests</t>
  </si>
  <si>
    <t xml:space="preserve">Quantized variant + cost/latency comparison table</t>
  </si>
  <si>
    <t xml:space="preserve">D3</t>
  </si>
  <si>
    <t xml:space="preserve">Kubernetes / OpenShift for GPU workloads</t>
  </si>
  <si>
    <t xml:space="preserve">GPU operator, autoscaling, model rollout</t>
  </si>
  <si>
    <t xml:space="preserve">Deploy serving stack on K8s/OpenShift</t>
  </si>
  <si>
    <t xml:space="preserve">D4</t>
  </si>
  <si>
    <t xml:space="preserve">Sovereign / on-prem / air-gapped deployment</t>
  </si>
  <si>
    <t xml:space="preserve">VPC &amp; on-prem patterns, data residency, security review readiness</t>
  </si>
  <si>
    <t xml:space="preserve">Write a sovereign deployment reference doc</t>
  </si>
  <si>
    <t xml:space="preserve">W10</t>
  </si>
  <si>
    <t xml:space="preserve">D5</t>
  </si>
  <si>
    <t xml:space="preserve">LLM observability</t>
  </si>
  <si>
    <t xml:space="preserve">Tracing, token cost, latency, quality drift dashboards</t>
  </si>
  <si>
    <t xml:space="preserve">Add tracing + cost dashboard to the agent</t>
  </si>
  <si>
    <t xml:space="preserve">E1</t>
  </si>
  <si>
    <t xml:space="preserve">E. Full-stack delivery</t>
  </si>
  <si>
    <t xml:space="preserve">Python backend &amp; APIs</t>
  </si>
  <si>
    <t xml:space="preserve">FastAPI, async, streaming responses, auth</t>
  </si>
  <si>
    <t xml:space="preserve">Streaming FastAPI backend for the demo</t>
  </si>
  <si>
    <t xml:space="preserve">E2</t>
  </si>
  <si>
    <t xml:space="preserve">Front-end demo building</t>
  </si>
  <si>
    <t xml:space="preserve">React/TypeScript or Streamlit/Gradio — enough to ship a usable demo</t>
  </si>
  <si>
    <t xml:space="preserve">Simple UI on top of the backend</t>
  </si>
  <si>
    <t xml:space="preserve">E3</t>
  </si>
  <si>
    <t xml:space="preserve">Enterprise data &amp; integration</t>
  </si>
  <si>
    <t xml:space="preserve">SQL, connectors, SSO, document pipelines</t>
  </si>
  <si>
    <t xml:space="preserve">Covered by existing platform work; refresh as needed</t>
  </si>
  <si>
    <t xml:space="preserve">—</t>
  </si>
  <si>
    <t xml:space="preserve">F1</t>
  </si>
  <si>
    <t xml:space="preserve">F. Customer &amp; commercial</t>
  </si>
  <si>
    <t xml:space="preserve">Discovery &amp; decomposition</t>
  </si>
  <si>
    <t xml:space="preserve">Turn a vague business problem into a scoped, buildable plan live</t>
  </si>
  <si>
    <t xml:space="preserve">Three mock decomposition cases with a partner</t>
  </si>
  <si>
    <t xml:space="preserve">W12, W13</t>
  </si>
  <si>
    <t xml:space="preserve">F2</t>
  </si>
  <si>
    <t xml:space="preserve">Explaining AI to mixed audiences</t>
  </si>
  <si>
    <t xml:space="preserve">Execs and engineers in the same meeting; simple without being wrong</t>
  </si>
  <si>
    <t xml:space="preserve">Present the case study to a non-technical audience</t>
  </si>
  <si>
    <t xml:space="preserve">W12</t>
  </si>
  <si>
    <t xml:space="preserve">F3</t>
  </si>
  <si>
    <t xml:space="preserve">Solution architecture &amp; ROI framing</t>
  </si>
  <si>
    <t xml:space="preserve">Architecture options, cost, risk and business value</t>
  </si>
  <si>
    <t xml:space="preserve">Add ROI + architecture section to case study</t>
  </si>
  <si>
    <t xml:space="preserve">F4</t>
  </si>
  <si>
    <t xml:space="preserve">Codifying patterns &amp; product feedback</t>
  </si>
  <si>
    <t xml:space="preserve">Turn field work into playbooks and feedback for product/research</t>
  </si>
  <si>
    <t xml:space="preserve">Write reusable playbook from the project</t>
  </si>
  <si>
    <t xml:space="preserve">W13</t>
  </si>
  <si>
    <t xml:space="preserve">G1</t>
  </si>
  <si>
    <t xml:space="preserve">G. Open source &amp; visibility</t>
  </si>
  <si>
    <t xml:space="preserve">Open-source LLM contributions</t>
  </si>
  <si>
    <t xml:space="preserve">PRs to inference / fine-tuning projects (vLLM, TRL, mistral-finetune, etc.)</t>
  </si>
  <si>
    <t xml:space="preserve">At least one merged or open PR (fix, example, docs)</t>
  </si>
  <si>
    <t xml:space="preserve">G2</t>
  </si>
  <si>
    <t xml:space="preserve">Public technical write-ups</t>
  </si>
  <si>
    <t xml:space="preserve">Case studies, benchmarks, talks</t>
  </si>
  <si>
    <t xml:space="preserve">Publish end-to-end case study</t>
  </si>
  <si>
    <t xml:space="preserve">Skills rated</t>
  </si>
  <si>
    <t xml:space="preserve">Total priority score (lower is better)</t>
  </si>
  <si>
    <t xml:space="preserve">High-priority skills</t>
  </si>
  <si>
    <t xml:space="preserve">Cluster Summary</t>
  </si>
  <si>
    <t xml:space="preserve">Fully formula-driven from the Skills Matrix tab. Averages show '—' until skills in that cluster are rated.</t>
  </si>
  <si>
    <t xml:space="preserve">Skills</t>
  </si>
  <si>
    <t xml:space="preserve">Rated</t>
  </si>
  <si>
    <t xml:space="preserve">Avg target</t>
  </si>
  <si>
    <t xml:space="preserve">Avg self (now)</t>
  </si>
  <si>
    <t xml:space="preserve">Avg gap</t>
  </si>
  <si>
    <t xml:space="preserve">Total</t>
  </si>
  <si>
    <t xml:space="preserve">90-Day Plan — one end-to-end portfolio project</t>
  </si>
  <si>
    <t xml:space="preserve">Spine: pick one domain use case (e.g. banking KYC or recruiting), then baseline → RAG → fine-tune → serve → agent → ship → publish → apply.</t>
  </si>
  <si>
    <t xml:space="preserve">Start date (Monday)</t>
  </si>
  <si>
    <t xml:space="preserve">Assumption: starts Mon 12 Oct 2026 — change to your real start date.</t>
  </si>
  <si>
    <t xml:space="preserve">Progress</t>
  </si>
  <si>
    <t xml:space="preserve">Week</t>
  </si>
  <si>
    <t xml:space="preserve">Week of</t>
  </si>
  <si>
    <t xml:space="preserve">Phase</t>
  </si>
  <si>
    <t xml:space="preserve">Focus</t>
  </si>
  <si>
    <t xml:space="preserve">Key activities</t>
  </si>
  <si>
    <t xml:space="preserve">Deliverable (definition of done)</t>
  </si>
  <si>
    <t xml:space="preserve">Skills (IDs)</t>
  </si>
  <si>
    <t xml:space="preserve">Est. hours</t>
  </si>
  <si>
    <t xml:space="preserve">Status</t>
  </si>
  <si>
    <t xml:space="preserve">Notes</t>
  </si>
  <si>
    <t xml:space="preserve">1 · Foundations</t>
  </si>
  <si>
    <t xml:space="preserve">Baseline &amp; setup</t>
  </si>
  <si>
    <t xml:space="preserve">Rate yourself in the matrix. Pick the use case and get a dataset. Set up GPU environment (own cluster or rented GPU). Write a PyTorch training loop from scratch on a toy task.</t>
  </si>
  <si>
    <t xml:space="preserve">Rated matrix; repo skeleton; 1-page use-case brief with success metric</t>
  </si>
  <si>
    <t xml:space="preserve">B2, B7</t>
  </si>
  <si>
    <t xml:space="preserve">Not started</t>
  </si>
  <si>
    <t xml:space="preserve">Implement attention + KV cache in a notebook. Read Mistral 7B and Mixtral papers; note MoE and sliding-window trade-offs.</t>
  </si>
  <si>
    <t xml:space="preserve">Notebook + 1-page notes you could explain to a customer</t>
  </si>
  <si>
    <t xml:space="preserve">B1, B2</t>
  </si>
  <si>
    <t xml:space="preserve">Eval first</t>
  </si>
  <si>
    <t xml:space="preserve">Build a 100–200 item golden set. Prompt-only baseline via Mistral API. Calibrate an LLM judge against ~50 hand labels.</t>
  </si>
  <si>
    <t xml:space="preserve">Eval harness; baseline score table</t>
  </si>
  <si>
    <t xml:space="preserve">C1, C2, A4, A5</t>
  </si>
  <si>
    <t xml:space="preserve">RAG baseline</t>
  </si>
  <si>
    <t xml:space="preserve">Hybrid retrieval (BM25 + dense) + reranker. Add retrieval recall and faithfulness metrics. Stretch: fine-tune the reranker.</t>
  </si>
  <si>
    <t xml:space="preserve">RAG vs prompt-only comparison</t>
  </si>
  <si>
    <t xml:space="preserve">A1, C3, B6</t>
  </si>
  <si>
    <t xml:space="preserve">2 · Customize &amp; serve</t>
  </si>
  <si>
    <t xml:space="preserve">Data for fine-tuning</t>
  </si>
  <si>
    <t xml:space="preserve">Curate SFT data; generate and filter synthetic examples; build preference pairs for later DPO.</t>
  </si>
  <si>
    <t xml:space="preserve">Versioned SFT + preference datasets with data card</t>
  </si>
  <si>
    <t xml:space="preserve">SFT with LoRA / QLoRA</t>
  </si>
  <si>
    <t xml:space="preserve">Fine-tune a small open Mistral model (TRL or mistral-finetune). Track runs; do error analysis.</t>
  </si>
  <si>
    <t xml:space="preserve">Fine-tuned adapter beating baseline on ≥1 key metric (or documented why not)</t>
  </si>
  <si>
    <t xml:space="preserve">B3, B2</t>
  </si>
  <si>
    <t xml:space="preserve">Preference tuning &amp; judgement</t>
  </si>
  <si>
    <t xml:space="preserve">One DPO pass on top of SFT. Compare prompt vs RAG vs SFT vs SFT+DPO on cost, quality, latency.</t>
  </si>
  <si>
    <t xml:space="preserve">Decision memo: which approach you'd recommend to a customer and why</t>
  </si>
  <si>
    <t xml:space="preserve">B4, C2, B7</t>
  </si>
  <si>
    <t xml:space="preserve">Serving on Kubernetes</t>
  </si>
  <si>
    <t xml:space="preserve">Serve with vLLM on K8s/OpenShift. Quantized variant. Benchmark throughput, p95 latency, cost per 1k requests.</t>
  </si>
  <si>
    <t xml:space="preserve">Deployment manifests + benchmark table</t>
  </si>
  <si>
    <t xml:space="preserve">D1, D2, D3</t>
  </si>
  <si>
    <t xml:space="preserve">3 · Productize</t>
  </si>
  <si>
    <t xml:space="preserve">Agentic layer</t>
  </si>
  <si>
    <t xml:space="preserve">Tool-calling agent over your served model, tools exposed via MCP, guardrails and tracing.</t>
  </si>
  <si>
    <t xml:space="preserve">Working agent with traces and token-cost dashboard</t>
  </si>
  <si>
    <t xml:space="preserve">A2, A3, D5</t>
  </si>
  <si>
    <t xml:space="preserve">Full-stack demo + sovereign pattern</t>
  </si>
  <si>
    <t xml:space="preserve">Streaming FastAPI backend + simple UI. Write the on-prem / air-gapped / data-residency reference architecture.</t>
  </si>
  <si>
    <t xml:space="preserve">Clickable demo; sovereign deployment doc</t>
  </si>
  <si>
    <t xml:space="preserve">E1, E2, D4</t>
  </si>
  <si>
    <t xml:space="preserve">Regression + open source</t>
  </si>
  <si>
    <t xml:space="preserve">Run eval suite in CI on every prompt/model change. Open a PR upstream (bug fix, example or docs) to vLLM, TRL or a Mistral repo.</t>
  </si>
  <si>
    <t xml:space="preserve">CI eval badge; PR link</t>
  </si>
  <si>
    <t xml:space="preserve">C4, G1</t>
  </si>
  <si>
    <t xml:space="preserve">3 · Go to market</t>
  </si>
  <si>
    <t xml:space="preserve">Case study &amp; decomposition practice</t>
  </si>
  <si>
    <t xml:space="preserve">Publish end-to-end case study with architecture + ROI. Run 3 mock decomposition cases with someone playing an evasive customer.</t>
  </si>
  <si>
    <t xml:space="preserve">Published write-up; 3 recorded mock cases with self-review</t>
  </si>
  <si>
    <t xml:space="preserve">G2, F1, F2, F3</t>
  </si>
  <si>
    <t xml:space="preserve">Re-rate &amp; apply</t>
  </si>
  <si>
    <t xml:space="preserve">Fill day-90 re-ratings. Turn the project into a reusable playbook. Tailor CV/LinkedIn; apply to target roles; prep 5 STAR stories.</t>
  </si>
  <si>
    <t xml:space="preserve">Updated matrix; playbook; applications submitted</t>
  </si>
  <si>
    <t xml:space="preserve">F1, F4</t>
  </si>
  <si>
    <t xml:space="preserve">Hours are estimates assuming ~10 hrs/week alongside a full-time role — adjust in the blue cells.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</si>
</sst>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dd\ mmm\ yyyy"/>
    <numFmt numFmtId="168" formatCode="0%"/>
    <numFmt numFmtId="169" formatCode="dd\ m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8B2"/>
      </patternFill>
    </fill>
    <fill>
      <patternFill patternType="solid">
        <fgColor rgb="FF1F3A5F"/>
        <bgColor rgb="FF333333"/>
      </patternFill>
    </fill>
    <fill>
      <patternFill patternType="solid">
        <fgColor rgb="FFE8EEF5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D9EAD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E1CD"/>
      <rgbColor rgb="FF808080"/>
      <rgbColor rgb="FF9999FF"/>
      <rgbColor rgb="FF993366"/>
      <rgbColor rgb="FFFFF2CC"/>
      <rgbColor rgb="FFE8EEF5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7" min="4" style="0" width="14"/>
    <col collapsed="false" customWidth="true" hidden="false" outlineLevel="0" max="8" min="8" style="0" width="4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5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6" t="s">
        <v>10</v>
      </c>
      <c r="B13" s="6" t="s">
        <v>11</v>
      </c>
      <c r="C13" s="6" t="s">
        <v>12</v>
      </c>
    </row>
    <row r="14" customFormat="false" ht="15" hidden="false" customHeight="false" outlineLevel="0" collapsed="false">
      <c r="A14" s="7" t="n">
        <v>1</v>
      </c>
      <c r="B14" s="7" t="s">
        <v>13</v>
      </c>
      <c r="C14" s="7" t="s">
        <v>14</v>
      </c>
    </row>
    <row r="15" customFormat="false" ht="15" hidden="false" customHeight="false" outlineLevel="0" collapsed="false">
      <c r="A15" s="7" t="n">
        <v>2</v>
      </c>
      <c r="B15" s="7" t="s">
        <v>15</v>
      </c>
      <c r="C15" s="7" t="s">
        <v>16</v>
      </c>
    </row>
    <row r="16" customFormat="false" ht="15" hidden="false" customHeight="false" outlineLevel="0" collapsed="false">
      <c r="A16" s="7" t="n">
        <v>3</v>
      </c>
      <c r="B16" s="7" t="s">
        <v>17</v>
      </c>
      <c r="C16" s="7" t="s">
        <v>18</v>
      </c>
    </row>
    <row r="17" customFormat="false" ht="15" hidden="false" customHeight="false" outlineLevel="0" collapsed="false">
      <c r="A17" s="7" t="n">
        <v>4</v>
      </c>
      <c r="B17" s="7" t="s">
        <v>19</v>
      </c>
      <c r="C17" s="7" t="s">
        <v>20</v>
      </c>
    </row>
    <row r="18" customFormat="false" ht="15" hidden="false" customHeight="false" outlineLevel="0" collapsed="false">
      <c r="A18" s="7" t="n">
        <v>5</v>
      </c>
      <c r="B18" s="7" t="s">
        <v>21</v>
      </c>
      <c r="C18" s="7" t="s">
        <v>22</v>
      </c>
    </row>
    <row r="20" customFormat="false" ht="15" hidden="false" customHeight="false" outlineLevel="0" collapsed="false">
      <c r="A20" s="4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3" t="s">
        <v>25</v>
      </c>
    </row>
    <row r="23" customFormat="false" ht="15" hidden="false" customHeight="false" outlineLevel="0" collapsed="false">
      <c r="A23" s="3" t="s">
        <v>26</v>
      </c>
    </row>
    <row r="24" customFormat="false" ht="15" hidden="false" customHeight="false" outlineLevel="0" collapsed="false">
      <c r="A24" s="3" t="s">
        <v>27</v>
      </c>
    </row>
    <row r="26" customFormat="false" ht="15" hidden="false" customHeight="false" outlineLevel="0" collapsed="false">
      <c r="A26" s="4" t="s">
        <v>28</v>
      </c>
    </row>
    <row r="27" customFormat="false" ht="23.85" hidden="false" customHeight="false" outlineLevel="0" collapsed="false">
      <c r="A27" s="8" t="s">
        <v>29</v>
      </c>
      <c r="B27" s="8" t="s">
        <v>30</v>
      </c>
      <c r="C27" s="8" t="s">
        <v>31</v>
      </c>
      <c r="D27" s="8" t="s">
        <v>32</v>
      </c>
      <c r="E27" s="8" t="s">
        <v>33</v>
      </c>
      <c r="F27" s="8" t="s">
        <v>34</v>
      </c>
      <c r="G27" s="8" t="s">
        <v>35</v>
      </c>
      <c r="H27" s="8" t="s">
        <v>36</v>
      </c>
    </row>
    <row r="28" customFormat="false" ht="23.85" hidden="false" customHeight="false" outlineLevel="0" collapsed="false">
      <c r="A28" s="9" t="s">
        <v>37</v>
      </c>
      <c r="B28" s="9" t="n">
        <v>4</v>
      </c>
      <c r="C28" s="9" t="n">
        <v>3</v>
      </c>
      <c r="D28" s="9" t="n">
        <v>2</v>
      </c>
      <c r="E28" s="9" t="n">
        <v>2</v>
      </c>
      <c r="F28" s="9" t="n">
        <v>6</v>
      </c>
      <c r="G28" s="9" t="s">
        <v>38</v>
      </c>
      <c r="H28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36"/>
    <col collapsed="false" customWidth="true" hidden="false" outlineLevel="0" max="13" min="13" style="0" width="40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0" t="s">
        <v>40</v>
      </c>
    </row>
    <row r="2" customFormat="false" ht="15" hidden="false" customHeight="false" outlineLevel="0" collapsed="false">
      <c r="A2" s="11" t="s">
        <v>41</v>
      </c>
    </row>
    <row r="4" customFormat="false" ht="35.05" hidden="false" customHeight="false" outlineLevel="0" collapsed="false">
      <c r="A4" s="8" t="s">
        <v>42</v>
      </c>
      <c r="B4" s="8" t="s">
        <v>43</v>
      </c>
      <c r="C4" s="8" t="s">
        <v>29</v>
      </c>
      <c r="D4" s="8" t="s">
        <v>44</v>
      </c>
      <c r="E4" s="8" t="s">
        <v>45</v>
      </c>
      <c r="F4" s="8" t="s">
        <v>46</v>
      </c>
      <c r="G4" s="8" t="s">
        <v>32</v>
      </c>
      <c r="H4" s="8" t="s">
        <v>47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48</v>
      </c>
      <c r="N4" s="8" t="s">
        <v>49</v>
      </c>
    </row>
    <row r="5" customFormat="false" ht="23.85" hidden="false" customHeight="false" outlineLevel="0" collapsed="false">
      <c r="A5" s="12" t="s">
        <v>50</v>
      </c>
      <c r="B5" s="7" t="s">
        <v>51</v>
      </c>
      <c r="C5" s="7" t="s">
        <v>52</v>
      </c>
      <c r="D5" s="7" t="s">
        <v>53</v>
      </c>
      <c r="E5" s="13" t="n">
        <v>4</v>
      </c>
      <c r="F5" s="13" t="n">
        <v>3</v>
      </c>
      <c r="G5" s="14"/>
      <c r="H5" s="14"/>
      <c r="I5" s="12" t="str">
        <f aca="false">IF(AND(G5="",H5=""),"",MAX(0,E5-IF(H5&lt;&gt;"",H5,G5)))</f>
        <v/>
      </c>
      <c r="J5" s="12" t="str">
        <f aca="false">IF(I5="","",I5*F5)</f>
        <v/>
      </c>
      <c r="K5" s="12" t="str">
        <f aca="false">IF(J5="","",IF(J5&gt;=6,"High",IF(J5&gt;=3,"Medium",IF(J5&gt;=1,"Low","On target"))))</f>
        <v/>
      </c>
      <c r="L5" s="15"/>
      <c r="M5" s="7" t="s">
        <v>54</v>
      </c>
      <c r="N5" s="12" t="s">
        <v>55</v>
      </c>
    </row>
    <row r="6" customFormat="false" ht="23.85" hidden="false" customHeight="false" outlineLevel="0" collapsed="false">
      <c r="A6" s="12" t="s">
        <v>56</v>
      </c>
      <c r="B6" s="7" t="s">
        <v>51</v>
      </c>
      <c r="C6" s="7" t="s">
        <v>57</v>
      </c>
      <c r="D6" s="7" t="s">
        <v>58</v>
      </c>
      <c r="E6" s="13" t="n">
        <v>4</v>
      </c>
      <c r="F6" s="13" t="n">
        <v>3</v>
      </c>
      <c r="G6" s="14"/>
      <c r="H6" s="14"/>
      <c r="I6" s="12" t="str">
        <f aca="false">IF(AND(G6="",H6=""),"",MAX(0,E6-IF(H6&lt;&gt;"",H6,G6)))</f>
        <v/>
      </c>
      <c r="J6" s="12" t="str">
        <f aca="false">IF(I6="","",I6*F6)</f>
        <v/>
      </c>
      <c r="K6" s="12" t="str">
        <f aca="false">IF(J6="","",IF(J6&gt;=6,"High",IF(J6&gt;=3,"Medium",IF(J6&gt;=1,"Low","On target"))))</f>
        <v/>
      </c>
      <c r="L6" s="15"/>
      <c r="M6" s="7" t="s">
        <v>59</v>
      </c>
      <c r="N6" s="12" t="s">
        <v>60</v>
      </c>
    </row>
    <row r="7" customFormat="false" ht="23.85" hidden="false" customHeight="false" outlineLevel="0" collapsed="false">
      <c r="A7" s="12" t="s">
        <v>61</v>
      </c>
      <c r="B7" s="7" t="s">
        <v>51</v>
      </c>
      <c r="C7" s="7" t="s">
        <v>62</v>
      </c>
      <c r="D7" s="7" t="s">
        <v>63</v>
      </c>
      <c r="E7" s="13" t="n">
        <v>4</v>
      </c>
      <c r="F7" s="13" t="n">
        <v>2</v>
      </c>
      <c r="G7" s="14"/>
      <c r="H7" s="14"/>
      <c r="I7" s="12" t="str">
        <f aca="false">IF(AND(G7="",H7=""),"",MAX(0,E7-IF(H7&lt;&gt;"",H7,G7)))</f>
        <v/>
      </c>
      <c r="J7" s="12" t="str">
        <f aca="false">IF(I7="","",I7*F7)</f>
        <v/>
      </c>
      <c r="K7" s="12" t="str">
        <f aca="false">IF(J7="","",IF(J7&gt;=6,"High",IF(J7&gt;=3,"Medium",IF(J7&gt;=1,"Low","On target"))))</f>
        <v/>
      </c>
      <c r="L7" s="15"/>
      <c r="M7" s="7" t="s">
        <v>64</v>
      </c>
      <c r="N7" s="12" t="s">
        <v>60</v>
      </c>
    </row>
    <row r="8" customFormat="false" ht="15" hidden="false" customHeight="false" outlineLevel="0" collapsed="false">
      <c r="A8" s="12" t="s">
        <v>65</v>
      </c>
      <c r="B8" s="7" t="s">
        <v>51</v>
      </c>
      <c r="C8" s="7" t="s">
        <v>66</v>
      </c>
      <c r="D8" s="7" t="s">
        <v>67</v>
      </c>
      <c r="E8" s="13" t="n">
        <v>4</v>
      </c>
      <c r="F8" s="13" t="n">
        <v>2</v>
      </c>
      <c r="G8" s="14"/>
      <c r="H8" s="14"/>
      <c r="I8" s="12" t="str">
        <f aca="false">IF(AND(G8="",H8=""),"",MAX(0,E8-IF(H8&lt;&gt;"",H8,G8)))</f>
        <v/>
      </c>
      <c r="J8" s="12" t="str">
        <f aca="false">IF(I8="","",I8*F8)</f>
        <v/>
      </c>
      <c r="K8" s="12" t="str">
        <f aca="false">IF(J8="","",IF(J8&gt;=6,"High",IF(J8&gt;=3,"Medium",IF(J8&gt;=1,"Low","On target"))))</f>
        <v/>
      </c>
      <c r="L8" s="15"/>
      <c r="M8" s="7" t="s">
        <v>68</v>
      </c>
      <c r="N8" s="12" t="s">
        <v>69</v>
      </c>
    </row>
    <row r="9" customFormat="false" ht="35.05" hidden="false" customHeight="false" outlineLevel="0" collapsed="false">
      <c r="A9" s="12" t="s">
        <v>70</v>
      </c>
      <c r="B9" s="7" t="s">
        <v>51</v>
      </c>
      <c r="C9" s="7" t="s">
        <v>71</v>
      </c>
      <c r="D9" s="7" t="s">
        <v>72</v>
      </c>
      <c r="E9" s="13" t="n">
        <v>4</v>
      </c>
      <c r="F9" s="13" t="n">
        <v>2</v>
      </c>
      <c r="G9" s="14"/>
      <c r="H9" s="14"/>
      <c r="I9" s="12" t="str">
        <f aca="false">IF(AND(G9="",H9=""),"",MAX(0,E9-IF(H9&lt;&gt;"",H9,G9)))</f>
        <v/>
      </c>
      <c r="J9" s="12" t="str">
        <f aca="false">IF(I9="","",I9*F9)</f>
        <v/>
      </c>
      <c r="K9" s="12" t="str">
        <f aca="false">IF(J9="","",IF(J9&gt;=6,"High",IF(J9&gt;=3,"Medium",IF(J9&gt;=1,"Low","On target"))))</f>
        <v/>
      </c>
      <c r="L9" s="15"/>
      <c r="M9" s="7" t="s">
        <v>73</v>
      </c>
      <c r="N9" s="12" t="s">
        <v>69</v>
      </c>
    </row>
    <row r="10" customFormat="false" ht="23.85" hidden="false" customHeight="false" outlineLevel="0" collapsed="false">
      <c r="A10" s="12" t="s">
        <v>74</v>
      </c>
      <c r="B10" s="7" t="s">
        <v>75</v>
      </c>
      <c r="C10" s="7" t="s">
        <v>76</v>
      </c>
      <c r="D10" s="7" t="s">
        <v>77</v>
      </c>
      <c r="E10" s="13" t="n">
        <v>4</v>
      </c>
      <c r="F10" s="13" t="n">
        <v>2</v>
      </c>
      <c r="G10" s="14"/>
      <c r="H10" s="14"/>
      <c r="I10" s="12" t="str">
        <f aca="false">IF(AND(G10="",H10=""),"",MAX(0,E10-IF(H10&lt;&gt;"",H10,G10)))</f>
        <v/>
      </c>
      <c r="J10" s="12" t="str">
        <f aca="false">IF(I10="","",I10*F10)</f>
        <v/>
      </c>
      <c r="K10" s="12" t="str">
        <f aca="false">IF(J10="","",IF(J10&gt;=6,"High",IF(J10&gt;=3,"Medium",IF(J10&gt;=1,"Low","On target"))))</f>
        <v/>
      </c>
      <c r="L10" s="15"/>
      <c r="M10" s="7" t="s">
        <v>78</v>
      </c>
      <c r="N10" s="12" t="s">
        <v>79</v>
      </c>
    </row>
    <row r="11" customFormat="false" ht="23.85" hidden="false" customHeight="false" outlineLevel="0" collapsed="false">
      <c r="A11" s="12" t="s">
        <v>80</v>
      </c>
      <c r="B11" s="7" t="s">
        <v>75</v>
      </c>
      <c r="C11" s="7" t="s">
        <v>81</v>
      </c>
      <c r="D11" s="7" t="s">
        <v>82</v>
      </c>
      <c r="E11" s="13" t="n">
        <v>4</v>
      </c>
      <c r="F11" s="13" t="n">
        <v>3</v>
      </c>
      <c r="G11" s="14"/>
      <c r="H11" s="14"/>
      <c r="I11" s="12" t="str">
        <f aca="false">IF(AND(G11="",H11=""),"",MAX(0,E11-IF(H11&lt;&gt;"",H11,G11)))</f>
        <v/>
      </c>
      <c r="J11" s="12" t="str">
        <f aca="false">IF(I11="","",I11*F11)</f>
        <v/>
      </c>
      <c r="K11" s="12" t="str">
        <f aca="false">IF(J11="","",IF(J11&gt;=6,"High",IF(J11&gt;=3,"Medium",IF(J11&gt;=1,"Low","On target"))))</f>
        <v/>
      </c>
      <c r="L11" s="15"/>
      <c r="M11" s="7" t="s">
        <v>83</v>
      </c>
      <c r="N11" s="12" t="s">
        <v>84</v>
      </c>
    </row>
    <row r="12" customFormat="false" ht="23.85" hidden="false" customHeight="false" outlineLevel="0" collapsed="false">
      <c r="A12" s="12" t="s">
        <v>85</v>
      </c>
      <c r="B12" s="7" t="s">
        <v>75</v>
      </c>
      <c r="C12" s="7" t="s">
        <v>86</v>
      </c>
      <c r="D12" s="7" t="s">
        <v>87</v>
      </c>
      <c r="E12" s="13" t="n">
        <v>4</v>
      </c>
      <c r="F12" s="13" t="n">
        <v>3</v>
      </c>
      <c r="G12" s="14"/>
      <c r="H12" s="14"/>
      <c r="I12" s="12" t="str">
        <f aca="false">IF(AND(G12="",H12=""),"",MAX(0,E12-IF(H12&lt;&gt;"",H12,G12)))</f>
        <v/>
      </c>
      <c r="J12" s="12" t="str">
        <f aca="false">IF(I12="","",I12*F12)</f>
        <v/>
      </c>
      <c r="K12" s="12" t="str">
        <f aca="false">IF(J12="","",IF(J12&gt;=6,"High",IF(J12&gt;=3,"Medium",IF(J12&gt;=1,"Low","On target"))))</f>
        <v/>
      </c>
      <c r="L12" s="15"/>
      <c r="M12" s="7" t="s">
        <v>88</v>
      </c>
      <c r="N12" s="12" t="s">
        <v>89</v>
      </c>
    </row>
    <row r="13" customFormat="false" ht="23.85" hidden="false" customHeight="false" outlineLevel="0" collapsed="false">
      <c r="A13" s="12" t="s">
        <v>90</v>
      </c>
      <c r="B13" s="7" t="s">
        <v>75</v>
      </c>
      <c r="C13" s="7" t="s">
        <v>91</v>
      </c>
      <c r="D13" s="7" t="s">
        <v>92</v>
      </c>
      <c r="E13" s="13" t="n">
        <v>3</v>
      </c>
      <c r="F13" s="13" t="n">
        <v>2</v>
      </c>
      <c r="G13" s="14"/>
      <c r="H13" s="14"/>
      <c r="I13" s="12" t="str">
        <f aca="false">IF(AND(G13="",H13=""),"",MAX(0,E13-IF(H13&lt;&gt;"",H13,G13)))</f>
        <v/>
      </c>
      <c r="J13" s="12" t="str">
        <f aca="false">IF(I13="","",I13*F13)</f>
        <v/>
      </c>
      <c r="K13" s="12" t="str">
        <f aca="false">IF(J13="","",IF(J13&gt;=6,"High",IF(J13&gt;=3,"Medium",IF(J13&gt;=1,"Low","On target"))))</f>
        <v/>
      </c>
      <c r="L13" s="15"/>
      <c r="M13" s="7" t="s">
        <v>93</v>
      </c>
      <c r="N13" s="12" t="s">
        <v>94</v>
      </c>
    </row>
    <row r="14" customFormat="false" ht="23.85" hidden="false" customHeight="false" outlineLevel="0" collapsed="false">
      <c r="A14" s="12" t="s">
        <v>95</v>
      </c>
      <c r="B14" s="7" t="s">
        <v>75</v>
      </c>
      <c r="C14" s="7" t="s">
        <v>96</v>
      </c>
      <c r="D14" s="7" t="s">
        <v>97</v>
      </c>
      <c r="E14" s="13" t="n">
        <v>4</v>
      </c>
      <c r="F14" s="13" t="n">
        <v>2</v>
      </c>
      <c r="G14" s="14"/>
      <c r="H14" s="14"/>
      <c r="I14" s="12" t="str">
        <f aca="false">IF(AND(G14="",H14=""),"",MAX(0,E14-IF(H14&lt;&gt;"",H14,G14)))</f>
        <v/>
      </c>
      <c r="J14" s="12" t="str">
        <f aca="false">IF(I14="","",I14*F14)</f>
        <v/>
      </c>
      <c r="K14" s="12" t="str">
        <f aca="false">IF(J14="","",IF(J14&gt;=6,"High",IF(J14&gt;=3,"Medium",IF(J14&gt;=1,"Low","On target"))))</f>
        <v/>
      </c>
      <c r="L14" s="15"/>
      <c r="M14" s="7" t="s">
        <v>98</v>
      </c>
      <c r="N14" s="12" t="s">
        <v>99</v>
      </c>
    </row>
    <row r="15" customFormat="false" ht="15" hidden="false" customHeight="false" outlineLevel="0" collapsed="false">
      <c r="A15" s="12" t="s">
        <v>100</v>
      </c>
      <c r="B15" s="7" t="s">
        <v>75</v>
      </c>
      <c r="C15" s="7" t="s">
        <v>101</v>
      </c>
      <c r="D15" s="7" t="s">
        <v>102</v>
      </c>
      <c r="E15" s="13" t="n">
        <v>3</v>
      </c>
      <c r="F15" s="13" t="n">
        <v>1</v>
      </c>
      <c r="G15" s="14"/>
      <c r="H15" s="14"/>
      <c r="I15" s="12" t="str">
        <f aca="false">IF(AND(G15="",H15=""),"",MAX(0,E15-IF(H15&lt;&gt;"",H15,G15)))</f>
        <v/>
      </c>
      <c r="J15" s="12" t="str">
        <f aca="false">IF(I15="","",I15*F15)</f>
        <v/>
      </c>
      <c r="K15" s="12" t="str">
        <f aca="false">IF(J15="","",IF(J15&gt;=6,"High",IF(J15&gt;=3,"Medium",IF(J15&gt;=1,"Low","On target"))))</f>
        <v/>
      </c>
      <c r="L15" s="15"/>
      <c r="M15" s="7" t="s">
        <v>103</v>
      </c>
      <c r="N15" s="12" t="s">
        <v>104</v>
      </c>
    </row>
    <row r="16" customFormat="false" ht="23.85" hidden="false" customHeight="false" outlineLevel="0" collapsed="false">
      <c r="A16" s="12" t="s">
        <v>105</v>
      </c>
      <c r="B16" s="7" t="s">
        <v>75</v>
      </c>
      <c r="C16" s="7" t="s">
        <v>106</v>
      </c>
      <c r="D16" s="7" t="s">
        <v>107</v>
      </c>
      <c r="E16" s="13" t="n">
        <v>4</v>
      </c>
      <c r="F16" s="13" t="n">
        <v>3</v>
      </c>
      <c r="G16" s="14"/>
      <c r="H16" s="14"/>
      <c r="I16" s="12" t="str">
        <f aca="false">IF(AND(G16="",H16=""),"",MAX(0,E16-IF(H16&lt;&gt;"",H16,G16)))</f>
        <v/>
      </c>
      <c r="J16" s="12" t="str">
        <f aca="false">IF(I16="","",I16*F16)</f>
        <v/>
      </c>
      <c r="K16" s="12" t="str">
        <f aca="false">IF(J16="","",IF(J16&gt;=6,"High",IF(J16&gt;=3,"Medium",IF(J16&gt;=1,"Low","On target"))))</f>
        <v/>
      </c>
      <c r="L16" s="15"/>
      <c r="M16" s="7" t="s">
        <v>108</v>
      </c>
      <c r="N16" s="12" t="s">
        <v>109</v>
      </c>
    </row>
    <row r="17" customFormat="false" ht="15" hidden="false" customHeight="false" outlineLevel="0" collapsed="false">
      <c r="A17" s="12" t="s">
        <v>110</v>
      </c>
      <c r="B17" s="7" t="s">
        <v>111</v>
      </c>
      <c r="C17" s="7" t="s">
        <v>112</v>
      </c>
      <c r="D17" s="7" t="s">
        <v>113</v>
      </c>
      <c r="E17" s="13" t="n">
        <v>4</v>
      </c>
      <c r="F17" s="13" t="n">
        <v>3</v>
      </c>
      <c r="G17" s="14"/>
      <c r="H17" s="14"/>
      <c r="I17" s="12" t="str">
        <f aca="false">IF(AND(G17="",H17=""),"",MAX(0,E17-IF(H17&lt;&gt;"",H17,G17)))</f>
        <v/>
      </c>
      <c r="J17" s="12" t="str">
        <f aca="false">IF(I17="","",I17*F17)</f>
        <v/>
      </c>
      <c r="K17" s="12" t="str">
        <f aca="false">IF(J17="","",IF(J17&gt;=6,"High",IF(J17&gt;=3,"Medium",IF(J17&gt;=1,"Low","On target"))))</f>
        <v/>
      </c>
      <c r="L17" s="15"/>
      <c r="M17" s="7" t="s">
        <v>114</v>
      </c>
      <c r="N17" s="12" t="s">
        <v>69</v>
      </c>
    </row>
    <row r="18" customFormat="false" ht="23.85" hidden="false" customHeight="false" outlineLevel="0" collapsed="false">
      <c r="A18" s="12" t="s">
        <v>115</v>
      </c>
      <c r="B18" s="7" t="s">
        <v>111</v>
      </c>
      <c r="C18" s="7" t="s">
        <v>116</v>
      </c>
      <c r="D18" s="7" t="s">
        <v>117</v>
      </c>
      <c r="E18" s="13" t="n">
        <v>4</v>
      </c>
      <c r="F18" s="13" t="n">
        <v>2</v>
      </c>
      <c r="G18" s="14"/>
      <c r="H18" s="14"/>
      <c r="I18" s="12" t="str">
        <f aca="false">IF(AND(G18="",H18=""),"",MAX(0,E18-IF(H18&lt;&gt;"",H18,G18)))</f>
        <v/>
      </c>
      <c r="J18" s="12" t="str">
        <f aca="false">IF(I18="","",I18*F18)</f>
        <v/>
      </c>
      <c r="K18" s="12" t="str">
        <f aca="false">IF(J18="","",IF(J18&gt;=6,"High",IF(J18&gt;=3,"Medium",IF(J18&gt;=1,"Low","On target"))))</f>
        <v/>
      </c>
      <c r="L18" s="15"/>
      <c r="M18" s="7" t="s">
        <v>118</v>
      </c>
      <c r="N18" s="12" t="s">
        <v>119</v>
      </c>
    </row>
    <row r="19" customFormat="false" ht="15" hidden="false" customHeight="false" outlineLevel="0" collapsed="false">
      <c r="A19" s="12" t="s">
        <v>120</v>
      </c>
      <c r="B19" s="7" t="s">
        <v>111</v>
      </c>
      <c r="C19" s="7" t="s">
        <v>121</v>
      </c>
      <c r="D19" s="7" t="s">
        <v>122</v>
      </c>
      <c r="E19" s="13" t="n">
        <v>4</v>
      </c>
      <c r="F19" s="13" t="n">
        <v>2</v>
      </c>
      <c r="G19" s="14"/>
      <c r="H19" s="14"/>
      <c r="I19" s="12" t="str">
        <f aca="false">IF(AND(G19="",H19=""),"",MAX(0,E19-IF(H19&lt;&gt;"",H19,G19)))</f>
        <v/>
      </c>
      <c r="J19" s="12" t="str">
        <f aca="false">IF(I19="","",I19*F19)</f>
        <v/>
      </c>
      <c r="K19" s="12" t="str">
        <f aca="false">IF(J19="","",IF(J19&gt;=6,"High",IF(J19&gt;=3,"Medium",IF(J19&gt;=1,"Low","On target"))))</f>
        <v/>
      </c>
      <c r="L19" s="15"/>
      <c r="M19" s="7" t="s">
        <v>123</v>
      </c>
      <c r="N19" s="12" t="s">
        <v>55</v>
      </c>
    </row>
    <row r="20" customFormat="false" ht="23.85" hidden="false" customHeight="false" outlineLevel="0" collapsed="false">
      <c r="A20" s="12" t="s">
        <v>124</v>
      </c>
      <c r="B20" s="7" t="s">
        <v>111</v>
      </c>
      <c r="C20" s="7" t="s">
        <v>125</v>
      </c>
      <c r="D20" s="7" t="s">
        <v>126</v>
      </c>
      <c r="E20" s="13" t="n">
        <v>3</v>
      </c>
      <c r="F20" s="13" t="n">
        <v>2</v>
      </c>
      <c r="G20" s="14"/>
      <c r="H20" s="14"/>
      <c r="I20" s="12" t="str">
        <f aca="false">IF(AND(G20="",H20=""),"",MAX(0,E20-IF(H20&lt;&gt;"",H20,G20)))</f>
        <v/>
      </c>
      <c r="J20" s="12" t="str">
        <f aca="false">IF(I20="","",I20*F20)</f>
        <v/>
      </c>
      <c r="K20" s="12" t="str">
        <f aca="false">IF(J20="","",IF(J20&gt;=6,"High",IF(J20&gt;=3,"Medium",IF(J20&gt;=1,"Low","On target"))))</f>
        <v/>
      </c>
      <c r="L20" s="15"/>
      <c r="M20" s="7" t="s">
        <v>127</v>
      </c>
      <c r="N20" s="12" t="s">
        <v>128</v>
      </c>
    </row>
    <row r="21" customFormat="false" ht="15" hidden="false" customHeight="false" outlineLevel="0" collapsed="false">
      <c r="A21" s="12" t="s">
        <v>129</v>
      </c>
      <c r="B21" s="7" t="s">
        <v>130</v>
      </c>
      <c r="C21" s="7" t="s">
        <v>131</v>
      </c>
      <c r="D21" s="7" t="s">
        <v>132</v>
      </c>
      <c r="E21" s="13" t="n">
        <v>4</v>
      </c>
      <c r="F21" s="13" t="n">
        <v>3</v>
      </c>
      <c r="G21" s="14"/>
      <c r="H21" s="14"/>
      <c r="I21" s="12" t="str">
        <f aca="false">IF(AND(G21="",H21=""),"",MAX(0,E21-IF(H21&lt;&gt;"",H21,G21)))</f>
        <v/>
      </c>
      <c r="J21" s="12" t="str">
        <f aca="false">IF(I21="","",I21*F21)</f>
        <v/>
      </c>
      <c r="K21" s="12" t="str">
        <f aca="false">IF(J21="","",IF(J21&gt;=6,"High",IF(J21&gt;=3,"Medium",IF(J21&gt;=1,"Low","On target"))))</f>
        <v/>
      </c>
      <c r="L21" s="15"/>
      <c r="M21" s="7" t="s">
        <v>133</v>
      </c>
      <c r="N21" s="12" t="s">
        <v>134</v>
      </c>
    </row>
    <row r="22" customFormat="false" ht="23.85" hidden="false" customHeight="false" outlineLevel="0" collapsed="false">
      <c r="A22" s="12" t="s">
        <v>135</v>
      </c>
      <c r="B22" s="7" t="s">
        <v>130</v>
      </c>
      <c r="C22" s="7" t="s">
        <v>136</v>
      </c>
      <c r="D22" s="7" t="s">
        <v>137</v>
      </c>
      <c r="E22" s="13" t="n">
        <v>3</v>
      </c>
      <c r="F22" s="13" t="n">
        <v>2</v>
      </c>
      <c r="G22" s="14"/>
      <c r="H22" s="14"/>
      <c r="I22" s="12" t="str">
        <f aca="false">IF(AND(G22="",H22=""),"",MAX(0,E22-IF(H22&lt;&gt;"",H22,G22)))</f>
        <v/>
      </c>
      <c r="J22" s="12" t="str">
        <f aca="false">IF(I22="","",I22*F22)</f>
        <v/>
      </c>
      <c r="K22" s="12" t="str">
        <f aca="false">IF(J22="","",IF(J22&gt;=6,"High",IF(J22&gt;=3,"Medium",IF(J22&gt;=1,"Low","On target"))))</f>
        <v/>
      </c>
      <c r="L22" s="15"/>
      <c r="M22" s="7" t="s">
        <v>138</v>
      </c>
      <c r="N22" s="12" t="s">
        <v>134</v>
      </c>
    </row>
    <row r="23" customFormat="false" ht="23.85" hidden="false" customHeight="false" outlineLevel="0" collapsed="false">
      <c r="A23" s="12" t="s">
        <v>139</v>
      </c>
      <c r="B23" s="7" t="s">
        <v>130</v>
      </c>
      <c r="C23" s="7" t="s">
        <v>140</v>
      </c>
      <c r="D23" s="7" t="s">
        <v>141</v>
      </c>
      <c r="E23" s="13" t="n">
        <v>4</v>
      </c>
      <c r="F23" s="13" t="n">
        <v>2</v>
      </c>
      <c r="G23" s="14"/>
      <c r="H23" s="14"/>
      <c r="I23" s="12" t="str">
        <f aca="false">IF(AND(G23="",H23=""),"",MAX(0,E23-IF(H23&lt;&gt;"",H23,G23)))</f>
        <v/>
      </c>
      <c r="J23" s="12" t="str">
        <f aca="false">IF(I23="","",I23*F23)</f>
        <v/>
      </c>
      <c r="K23" s="12" t="str">
        <f aca="false">IF(J23="","",IF(J23&gt;=6,"High",IF(J23&gt;=3,"Medium",IF(J23&gt;=1,"Low","On target"))))</f>
        <v/>
      </c>
      <c r="L23" s="15"/>
      <c r="M23" s="7" t="s">
        <v>142</v>
      </c>
      <c r="N23" s="12" t="s">
        <v>134</v>
      </c>
    </row>
    <row r="24" customFormat="false" ht="23.85" hidden="false" customHeight="false" outlineLevel="0" collapsed="false">
      <c r="A24" s="12" t="s">
        <v>143</v>
      </c>
      <c r="B24" s="7" t="s">
        <v>130</v>
      </c>
      <c r="C24" s="7" t="s">
        <v>144</v>
      </c>
      <c r="D24" s="7" t="s">
        <v>145</v>
      </c>
      <c r="E24" s="13" t="n">
        <v>4</v>
      </c>
      <c r="F24" s="13" t="n">
        <v>2</v>
      </c>
      <c r="G24" s="14"/>
      <c r="H24" s="14"/>
      <c r="I24" s="12" t="str">
        <f aca="false">IF(AND(G24="",H24=""),"",MAX(0,E24-IF(H24&lt;&gt;"",H24,G24)))</f>
        <v/>
      </c>
      <c r="J24" s="12" t="str">
        <f aca="false">IF(I24="","",I24*F24)</f>
        <v/>
      </c>
      <c r="K24" s="12" t="str">
        <f aca="false">IF(J24="","",IF(J24&gt;=6,"High",IF(J24&gt;=3,"Medium",IF(J24&gt;=1,"Low","On target"))))</f>
        <v/>
      </c>
      <c r="L24" s="15"/>
      <c r="M24" s="7" t="s">
        <v>146</v>
      </c>
      <c r="N24" s="12" t="s">
        <v>147</v>
      </c>
    </row>
    <row r="25" customFormat="false" ht="15" hidden="false" customHeight="false" outlineLevel="0" collapsed="false">
      <c r="A25" s="12" t="s">
        <v>148</v>
      </c>
      <c r="B25" s="7" t="s">
        <v>130</v>
      </c>
      <c r="C25" s="7" t="s">
        <v>149</v>
      </c>
      <c r="D25" s="7" t="s">
        <v>150</v>
      </c>
      <c r="E25" s="13" t="n">
        <v>4</v>
      </c>
      <c r="F25" s="13" t="n">
        <v>1</v>
      </c>
      <c r="G25" s="14"/>
      <c r="H25" s="14"/>
      <c r="I25" s="12" t="str">
        <f aca="false">IF(AND(G25="",H25=""),"",MAX(0,E25-IF(H25&lt;&gt;"",H25,G25)))</f>
        <v/>
      </c>
      <c r="J25" s="12" t="str">
        <f aca="false">IF(I25="","",I25*F25)</f>
        <v/>
      </c>
      <c r="K25" s="12" t="str">
        <f aca="false">IF(J25="","",IF(J25&gt;=6,"High",IF(J25&gt;=3,"Medium",IF(J25&gt;=1,"Low","On target"))))</f>
        <v/>
      </c>
      <c r="L25" s="15"/>
      <c r="M25" s="7" t="s">
        <v>151</v>
      </c>
      <c r="N25" s="12" t="s">
        <v>60</v>
      </c>
    </row>
    <row r="26" customFormat="false" ht="15" hidden="false" customHeight="false" outlineLevel="0" collapsed="false">
      <c r="A26" s="12" t="s">
        <v>152</v>
      </c>
      <c r="B26" s="7" t="s">
        <v>153</v>
      </c>
      <c r="C26" s="7" t="s">
        <v>154</v>
      </c>
      <c r="D26" s="7" t="s">
        <v>155</v>
      </c>
      <c r="E26" s="13" t="n">
        <v>4</v>
      </c>
      <c r="F26" s="13" t="n">
        <v>3</v>
      </c>
      <c r="G26" s="14"/>
      <c r="H26" s="14"/>
      <c r="I26" s="12" t="str">
        <f aca="false">IF(AND(G26="",H26=""),"",MAX(0,E26-IF(H26&lt;&gt;"",H26,G26)))</f>
        <v/>
      </c>
      <c r="J26" s="12" t="str">
        <f aca="false">IF(I26="","",I26*F26)</f>
        <v/>
      </c>
      <c r="K26" s="12" t="str">
        <f aca="false">IF(J26="","",IF(J26&gt;=6,"High",IF(J26&gt;=3,"Medium",IF(J26&gt;=1,"Low","On target"))))</f>
        <v/>
      </c>
      <c r="L26" s="15"/>
      <c r="M26" s="7" t="s">
        <v>156</v>
      </c>
      <c r="N26" s="12" t="s">
        <v>147</v>
      </c>
    </row>
    <row r="27" customFormat="false" ht="23.85" hidden="false" customHeight="false" outlineLevel="0" collapsed="false">
      <c r="A27" s="12" t="s">
        <v>157</v>
      </c>
      <c r="B27" s="7" t="s">
        <v>153</v>
      </c>
      <c r="C27" s="7" t="s">
        <v>158</v>
      </c>
      <c r="D27" s="7" t="s">
        <v>159</v>
      </c>
      <c r="E27" s="13" t="n">
        <v>3</v>
      </c>
      <c r="F27" s="13" t="n">
        <v>1</v>
      </c>
      <c r="G27" s="14"/>
      <c r="H27" s="14"/>
      <c r="I27" s="12" t="str">
        <f aca="false">IF(AND(G27="",H27=""),"",MAX(0,E27-IF(H27&lt;&gt;"",H27,G27)))</f>
        <v/>
      </c>
      <c r="J27" s="12" t="str">
        <f aca="false">IF(I27="","",I27*F27)</f>
        <v/>
      </c>
      <c r="K27" s="12" t="str">
        <f aca="false">IF(J27="","",IF(J27&gt;=6,"High",IF(J27&gt;=3,"Medium",IF(J27&gt;=1,"Low","On target"))))</f>
        <v/>
      </c>
      <c r="L27" s="15"/>
      <c r="M27" s="7" t="s">
        <v>160</v>
      </c>
      <c r="N27" s="12" t="s">
        <v>147</v>
      </c>
    </row>
    <row r="28" customFormat="false" ht="23.85" hidden="false" customHeight="false" outlineLevel="0" collapsed="false">
      <c r="A28" s="12" t="s">
        <v>161</v>
      </c>
      <c r="B28" s="7" t="s">
        <v>153</v>
      </c>
      <c r="C28" s="7" t="s">
        <v>162</v>
      </c>
      <c r="D28" s="7" t="s">
        <v>163</v>
      </c>
      <c r="E28" s="13" t="n">
        <v>3</v>
      </c>
      <c r="F28" s="13" t="n">
        <v>1</v>
      </c>
      <c r="G28" s="14"/>
      <c r="H28" s="14"/>
      <c r="I28" s="12" t="str">
        <f aca="false">IF(AND(G28="",H28=""),"",MAX(0,E28-IF(H28&lt;&gt;"",H28,G28)))</f>
        <v/>
      </c>
      <c r="J28" s="12" t="str">
        <f aca="false">IF(I28="","",I28*F28)</f>
        <v/>
      </c>
      <c r="K28" s="12" t="str">
        <f aca="false">IF(J28="","",IF(J28&gt;=6,"High",IF(J28&gt;=3,"Medium",IF(J28&gt;=1,"Low","On target"))))</f>
        <v/>
      </c>
      <c r="L28" s="15"/>
      <c r="M28" s="7" t="s">
        <v>164</v>
      </c>
      <c r="N28" s="12" t="s">
        <v>165</v>
      </c>
    </row>
    <row r="29" customFormat="false" ht="23.85" hidden="false" customHeight="false" outlineLevel="0" collapsed="false">
      <c r="A29" s="12" t="s">
        <v>166</v>
      </c>
      <c r="B29" s="7" t="s">
        <v>167</v>
      </c>
      <c r="C29" s="7" t="s">
        <v>168</v>
      </c>
      <c r="D29" s="7" t="s">
        <v>169</v>
      </c>
      <c r="E29" s="13" t="n">
        <v>4</v>
      </c>
      <c r="F29" s="13" t="n">
        <v>3</v>
      </c>
      <c r="G29" s="14"/>
      <c r="H29" s="14"/>
      <c r="I29" s="12" t="str">
        <f aca="false">IF(AND(G29="",H29=""),"",MAX(0,E29-IF(H29&lt;&gt;"",H29,G29)))</f>
        <v/>
      </c>
      <c r="J29" s="12" t="str">
        <f aca="false">IF(I29="","",I29*F29)</f>
        <v/>
      </c>
      <c r="K29" s="12" t="str">
        <f aca="false">IF(J29="","",IF(J29&gt;=6,"High",IF(J29&gt;=3,"Medium",IF(J29&gt;=1,"Low","On target"))))</f>
        <v/>
      </c>
      <c r="L29" s="15"/>
      <c r="M29" s="7" t="s">
        <v>170</v>
      </c>
      <c r="N29" s="12" t="s">
        <v>171</v>
      </c>
    </row>
    <row r="30" customFormat="false" ht="23.85" hidden="false" customHeight="false" outlineLevel="0" collapsed="false">
      <c r="A30" s="12" t="s">
        <v>172</v>
      </c>
      <c r="B30" s="7" t="s">
        <v>167</v>
      </c>
      <c r="C30" s="7" t="s">
        <v>173</v>
      </c>
      <c r="D30" s="7" t="s">
        <v>174</v>
      </c>
      <c r="E30" s="13" t="n">
        <v>4</v>
      </c>
      <c r="F30" s="13" t="n">
        <v>2</v>
      </c>
      <c r="G30" s="14"/>
      <c r="H30" s="14"/>
      <c r="I30" s="12" t="str">
        <f aca="false">IF(AND(G30="",H30=""),"",MAX(0,E30-IF(H30&lt;&gt;"",H30,G30)))</f>
        <v/>
      </c>
      <c r="J30" s="12" t="str">
        <f aca="false">IF(I30="","",I30*F30)</f>
        <v/>
      </c>
      <c r="K30" s="12" t="str">
        <f aca="false">IF(J30="","",IF(J30&gt;=6,"High",IF(J30&gt;=3,"Medium",IF(J30&gt;=1,"Low","On target"))))</f>
        <v/>
      </c>
      <c r="L30" s="15"/>
      <c r="M30" s="7" t="s">
        <v>175</v>
      </c>
      <c r="N30" s="12" t="s">
        <v>176</v>
      </c>
    </row>
    <row r="31" customFormat="false" ht="15" hidden="false" customHeight="false" outlineLevel="0" collapsed="false">
      <c r="A31" s="12" t="s">
        <v>177</v>
      </c>
      <c r="B31" s="7" t="s">
        <v>167</v>
      </c>
      <c r="C31" s="7" t="s">
        <v>178</v>
      </c>
      <c r="D31" s="7" t="s">
        <v>179</v>
      </c>
      <c r="E31" s="13" t="n">
        <v>4</v>
      </c>
      <c r="F31" s="13" t="n">
        <v>2</v>
      </c>
      <c r="G31" s="14"/>
      <c r="H31" s="14"/>
      <c r="I31" s="12" t="str">
        <f aca="false">IF(AND(G31="",H31=""),"",MAX(0,E31-IF(H31&lt;&gt;"",H31,G31)))</f>
        <v/>
      </c>
      <c r="J31" s="12" t="str">
        <f aca="false">IF(I31="","",I31*F31)</f>
        <v/>
      </c>
      <c r="K31" s="12" t="str">
        <f aca="false">IF(J31="","",IF(J31&gt;=6,"High",IF(J31&gt;=3,"Medium",IF(J31&gt;=1,"Low","On target"))))</f>
        <v/>
      </c>
      <c r="L31" s="15"/>
      <c r="M31" s="7" t="s">
        <v>180</v>
      </c>
      <c r="N31" s="12" t="s">
        <v>176</v>
      </c>
    </row>
    <row r="32" customFormat="false" ht="23.85" hidden="false" customHeight="false" outlineLevel="0" collapsed="false">
      <c r="A32" s="12" t="s">
        <v>181</v>
      </c>
      <c r="B32" s="7" t="s">
        <v>167</v>
      </c>
      <c r="C32" s="7" t="s">
        <v>182</v>
      </c>
      <c r="D32" s="7" t="s">
        <v>183</v>
      </c>
      <c r="E32" s="13" t="n">
        <v>3</v>
      </c>
      <c r="F32" s="13" t="n">
        <v>1</v>
      </c>
      <c r="G32" s="14"/>
      <c r="H32" s="14"/>
      <c r="I32" s="12" t="str">
        <f aca="false">IF(AND(G32="",H32=""),"",MAX(0,E32-IF(H32&lt;&gt;"",H32,G32)))</f>
        <v/>
      </c>
      <c r="J32" s="12" t="str">
        <f aca="false">IF(I32="","",I32*F32)</f>
        <v/>
      </c>
      <c r="K32" s="12" t="str">
        <f aca="false">IF(J32="","",IF(J32&gt;=6,"High",IF(J32&gt;=3,"Medium",IF(J32&gt;=1,"Low","On target"))))</f>
        <v/>
      </c>
      <c r="L32" s="15"/>
      <c r="M32" s="7" t="s">
        <v>184</v>
      </c>
      <c r="N32" s="12" t="s">
        <v>185</v>
      </c>
    </row>
    <row r="33" customFormat="false" ht="23.85" hidden="false" customHeight="false" outlineLevel="0" collapsed="false">
      <c r="A33" s="12" t="s">
        <v>186</v>
      </c>
      <c r="B33" s="7" t="s">
        <v>187</v>
      </c>
      <c r="C33" s="7" t="s">
        <v>188</v>
      </c>
      <c r="D33" s="7" t="s">
        <v>189</v>
      </c>
      <c r="E33" s="13" t="n">
        <v>3</v>
      </c>
      <c r="F33" s="13" t="n">
        <v>2</v>
      </c>
      <c r="G33" s="14"/>
      <c r="H33" s="14"/>
      <c r="I33" s="12" t="str">
        <f aca="false">IF(AND(G33="",H33=""),"",MAX(0,E33-IF(H33&lt;&gt;"",H33,G33)))</f>
        <v/>
      </c>
      <c r="J33" s="12" t="str">
        <f aca="false">IF(I33="","",I33*F33)</f>
        <v/>
      </c>
      <c r="K33" s="12" t="str">
        <f aca="false">IF(J33="","",IF(J33&gt;=6,"High",IF(J33&gt;=3,"Medium",IF(J33&gt;=1,"Low","On target"))))</f>
        <v/>
      </c>
      <c r="L33" s="15"/>
      <c r="M33" s="7" t="s">
        <v>190</v>
      </c>
      <c r="N33" s="12" t="s">
        <v>128</v>
      </c>
    </row>
    <row r="34" customFormat="false" ht="15" hidden="false" customHeight="false" outlineLevel="0" collapsed="false">
      <c r="A34" s="12" t="s">
        <v>191</v>
      </c>
      <c r="B34" s="7" t="s">
        <v>187</v>
      </c>
      <c r="C34" s="7" t="s">
        <v>192</v>
      </c>
      <c r="D34" s="7" t="s">
        <v>193</v>
      </c>
      <c r="E34" s="13" t="n">
        <v>3</v>
      </c>
      <c r="F34" s="13" t="n">
        <v>1</v>
      </c>
      <c r="G34" s="14"/>
      <c r="H34" s="14"/>
      <c r="I34" s="12" t="str">
        <f aca="false">IF(AND(G34="",H34=""),"",MAX(0,E34-IF(H34&lt;&gt;"",H34,G34)))</f>
        <v/>
      </c>
      <c r="J34" s="12" t="str">
        <f aca="false">IF(I34="","",I34*F34)</f>
        <v/>
      </c>
      <c r="K34" s="12" t="str">
        <f aca="false">IF(J34="","",IF(J34&gt;=6,"High",IF(J34&gt;=3,"Medium",IF(J34&gt;=1,"Low","On target"))))</f>
        <v/>
      </c>
      <c r="L34" s="15"/>
      <c r="M34" s="7" t="s">
        <v>194</v>
      </c>
      <c r="N34" s="12" t="s">
        <v>176</v>
      </c>
    </row>
    <row r="36" customFormat="false" ht="15" hidden="false" customHeight="false" outlineLevel="0" collapsed="false">
      <c r="C36" s="16" t="s">
        <v>195</v>
      </c>
      <c r="G36" s="17" t="n">
        <f aca="false">COUNT(G5:G34)</f>
        <v>0</v>
      </c>
      <c r="H36" s="17" t="n">
        <f aca="false">COUNT(H5:H34)</f>
        <v>0</v>
      </c>
      <c r="J36" s="18"/>
      <c r="K36" s="18"/>
    </row>
    <row r="37" customFormat="false" ht="15" hidden="false" customHeight="false" outlineLevel="0" collapsed="false">
      <c r="C37" s="16" t="s">
        <v>196</v>
      </c>
      <c r="G37" s="18"/>
      <c r="H37" s="18"/>
      <c r="J37" s="17" t="n">
        <f aca="false">SUM(J5:J34)</f>
        <v>0</v>
      </c>
      <c r="K37" s="18"/>
    </row>
    <row r="38" customFormat="false" ht="15" hidden="false" customHeight="false" outlineLevel="0" collapsed="false">
      <c r="C38" s="16" t="s">
        <v>197</v>
      </c>
      <c r="G38" s="18"/>
      <c r="H38" s="18"/>
      <c r="J38" s="18"/>
      <c r="K38" s="17" t="n">
        <f aca="false">COUNTIF(K5:K34,"High")</f>
        <v>0</v>
      </c>
    </row>
  </sheetData>
  <autoFilter ref="A4:N34"/>
  <conditionalFormatting sqref="K5:K34">
    <cfRule type="cellIs" priority="2" operator="equal" aboveAverage="0" equalAverage="0" bottom="0" percent="0" rank="0" text="" dxfId="5">
      <formula>"High"</formula>
    </cfRule>
    <cfRule type="cellIs" priority="3" operator="equal" aboveAverage="0" equalAverage="0" bottom="0" percent="0" rank="0" text="" dxfId="6">
      <formula>"Medium"</formula>
    </cfRule>
    <cfRule type="cellIs" priority="4" operator="equal" aboveAverage="0" equalAverage="0" bottom="0" percent="0" rank="0" text="" dxfId="7">
      <formula>"Low"</formula>
    </cfRule>
    <cfRule type="cellIs" priority="5" operator="equal" aboveAverage="0" equalAverage="0" bottom="0" percent="0" rank="0" text="" dxfId="8">
      <formula>"On target"</formula>
    </cfRule>
  </conditionalFormatting>
  <dataValidations count="2">
    <dataValidation allowBlank="true" error="Enter a whole number from 1 to 5." errorStyle="stop" errorTitle="Rating" operator="between" showDropDown="false" showErrorMessage="true" showInputMessage="false" sqref="E5:E34 G5:H34" type="whole">
      <formula1>1</formula1>
      <formula2>5</formula2>
    </dataValidation>
    <dataValidation allowBlank="true" errorStyle="stop" operator="between" showDropDown="false" showErrorMessage="false" showInputMessage="false" sqref="F5:F3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0" t="s">
        <v>198</v>
      </c>
    </row>
    <row r="2" customFormat="false" ht="15" hidden="false" customHeight="false" outlineLevel="0" collapsed="false">
      <c r="A2" s="11" t="s">
        <v>199</v>
      </c>
    </row>
    <row r="4" customFormat="false" ht="23.85" hidden="false" customHeight="false" outlineLevel="0" collapsed="false">
      <c r="A4" s="8" t="s">
        <v>43</v>
      </c>
      <c r="B4" s="8" t="s">
        <v>200</v>
      </c>
      <c r="C4" s="8" t="s">
        <v>201</v>
      </c>
      <c r="D4" s="8" t="s">
        <v>202</v>
      </c>
      <c r="E4" s="8" t="s">
        <v>203</v>
      </c>
      <c r="F4" s="8" t="s">
        <v>204</v>
      </c>
      <c r="G4" s="8" t="s">
        <v>34</v>
      </c>
      <c r="H4" s="8" t="s">
        <v>197</v>
      </c>
    </row>
    <row r="5" customFormat="false" ht="15" hidden="false" customHeight="false" outlineLevel="0" collapsed="false">
      <c r="A5" s="19" t="s">
        <v>51</v>
      </c>
      <c r="B5" s="12" t="n">
        <f aca="false">COUNTIF('Skills Matrix'!$B$5:$B$34,A5)</f>
        <v>5</v>
      </c>
      <c r="C5" s="12" t="n">
        <f aca="false">COUNTIFS('Skills Matrix'!$B$5:$B$34,A5,'Skills Matrix'!$G$5:$G$34,"&lt;&gt;")</f>
        <v>0</v>
      </c>
      <c r="D5" s="20" t="n">
        <f aca="false">AVERAGEIF('Skills Matrix'!$B$5:$B$34,A5,'Skills Matrix'!$E$5:$E$34)</f>
        <v>4</v>
      </c>
      <c r="E5" s="20" t="str">
        <f aca="false">IFERROR(AVERAGEIF('Skills Matrix'!$B$5:$B$34,A5,'Skills Matrix'!$G$5:$G$34),"—")</f>
        <v>—</v>
      </c>
      <c r="F5" s="20" t="str">
        <f aca="false">IFERROR(AVERAGEIF('Skills Matrix'!$B$5:$B$34,A5,'Skills Matrix'!$I$5:$I$34),"—")</f>
        <v>—</v>
      </c>
      <c r="G5" s="12" t="n">
        <f aca="false">SUMIF('Skills Matrix'!$B$5:$B$34,A5,'Skills Matrix'!$J$5:$J$34)</f>
        <v>0</v>
      </c>
      <c r="H5" s="12" t="n">
        <f aca="false">COUNTIFS('Skills Matrix'!$B$5:$B$34,A5,'Skills Matrix'!$K$5:$K$34,"High")</f>
        <v>0</v>
      </c>
    </row>
    <row r="6" customFormat="false" ht="15" hidden="false" customHeight="false" outlineLevel="0" collapsed="false">
      <c r="A6" s="19" t="s">
        <v>75</v>
      </c>
      <c r="B6" s="12" t="n">
        <f aca="false">COUNTIF('Skills Matrix'!$B$5:$B$34,A6)</f>
        <v>7</v>
      </c>
      <c r="C6" s="12" t="n">
        <f aca="false">COUNTIFS('Skills Matrix'!$B$5:$B$34,A6,'Skills Matrix'!$G$5:$G$34,"&lt;&gt;")</f>
        <v>0</v>
      </c>
      <c r="D6" s="20" t="n">
        <f aca="false">AVERAGEIF('Skills Matrix'!$B$5:$B$34,A6,'Skills Matrix'!$E$5:$E$34)</f>
        <v>3.71428571428571</v>
      </c>
      <c r="E6" s="20" t="str">
        <f aca="false">IFERROR(AVERAGEIF('Skills Matrix'!$B$5:$B$34,A6,'Skills Matrix'!$G$5:$G$34),"—")</f>
        <v>—</v>
      </c>
      <c r="F6" s="20" t="str">
        <f aca="false">IFERROR(AVERAGEIF('Skills Matrix'!$B$5:$B$34,A6,'Skills Matrix'!$I$5:$I$34),"—")</f>
        <v>—</v>
      </c>
      <c r="G6" s="12" t="n">
        <f aca="false">SUMIF('Skills Matrix'!$B$5:$B$34,A6,'Skills Matrix'!$J$5:$J$34)</f>
        <v>0</v>
      </c>
      <c r="H6" s="12" t="n">
        <f aca="false">COUNTIFS('Skills Matrix'!$B$5:$B$34,A6,'Skills Matrix'!$K$5:$K$34,"High")</f>
        <v>0</v>
      </c>
    </row>
    <row r="7" customFormat="false" ht="15" hidden="false" customHeight="false" outlineLevel="0" collapsed="false">
      <c r="A7" s="19" t="s">
        <v>111</v>
      </c>
      <c r="B7" s="12" t="n">
        <f aca="false">COUNTIF('Skills Matrix'!$B$5:$B$34,A7)</f>
        <v>4</v>
      </c>
      <c r="C7" s="12" t="n">
        <f aca="false">COUNTIFS('Skills Matrix'!$B$5:$B$34,A7,'Skills Matrix'!$G$5:$G$34,"&lt;&gt;")</f>
        <v>0</v>
      </c>
      <c r="D7" s="20" t="n">
        <f aca="false">AVERAGEIF('Skills Matrix'!$B$5:$B$34,A7,'Skills Matrix'!$E$5:$E$34)</f>
        <v>3.75</v>
      </c>
      <c r="E7" s="20" t="str">
        <f aca="false">IFERROR(AVERAGEIF('Skills Matrix'!$B$5:$B$34,A7,'Skills Matrix'!$G$5:$G$34),"—")</f>
        <v>—</v>
      </c>
      <c r="F7" s="20" t="str">
        <f aca="false">IFERROR(AVERAGEIF('Skills Matrix'!$B$5:$B$34,A7,'Skills Matrix'!$I$5:$I$34),"—")</f>
        <v>—</v>
      </c>
      <c r="G7" s="12" t="n">
        <f aca="false">SUMIF('Skills Matrix'!$B$5:$B$34,A7,'Skills Matrix'!$J$5:$J$34)</f>
        <v>0</v>
      </c>
      <c r="H7" s="12" t="n">
        <f aca="false">COUNTIFS('Skills Matrix'!$B$5:$B$34,A7,'Skills Matrix'!$K$5:$K$34,"High")</f>
        <v>0</v>
      </c>
    </row>
    <row r="8" customFormat="false" ht="15" hidden="false" customHeight="false" outlineLevel="0" collapsed="false">
      <c r="A8" s="19" t="s">
        <v>130</v>
      </c>
      <c r="B8" s="12" t="n">
        <f aca="false">COUNTIF('Skills Matrix'!$B$5:$B$34,A8)</f>
        <v>5</v>
      </c>
      <c r="C8" s="12" t="n">
        <f aca="false">COUNTIFS('Skills Matrix'!$B$5:$B$34,A8,'Skills Matrix'!$G$5:$G$34,"&lt;&gt;")</f>
        <v>0</v>
      </c>
      <c r="D8" s="20" t="n">
        <f aca="false">AVERAGEIF('Skills Matrix'!$B$5:$B$34,A8,'Skills Matrix'!$E$5:$E$34)</f>
        <v>3.8</v>
      </c>
      <c r="E8" s="20" t="str">
        <f aca="false">IFERROR(AVERAGEIF('Skills Matrix'!$B$5:$B$34,A8,'Skills Matrix'!$G$5:$G$34),"—")</f>
        <v>—</v>
      </c>
      <c r="F8" s="20" t="str">
        <f aca="false">IFERROR(AVERAGEIF('Skills Matrix'!$B$5:$B$34,A8,'Skills Matrix'!$I$5:$I$34),"—")</f>
        <v>—</v>
      </c>
      <c r="G8" s="12" t="n">
        <f aca="false">SUMIF('Skills Matrix'!$B$5:$B$34,A8,'Skills Matrix'!$J$5:$J$34)</f>
        <v>0</v>
      </c>
      <c r="H8" s="12" t="n">
        <f aca="false">COUNTIFS('Skills Matrix'!$B$5:$B$34,A8,'Skills Matrix'!$K$5:$K$34,"High")</f>
        <v>0</v>
      </c>
    </row>
    <row r="9" customFormat="false" ht="15" hidden="false" customHeight="false" outlineLevel="0" collapsed="false">
      <c r="A9" s="19" t="s">
        <v>153</v>
      </c>
      <c r="B9" s="12" t="n">
        <f aca="false">COUNTIF('Skills Matrix'!$B$5:$B$34,A9)</f>
        <v>3</v>
      </c>
      <c r="C9" s="12" t="n">
        <f aca="false">COUNTIFS('Skills Matrix'!$B$5:$B$34,A9,'Skills Matrix'!$G$5:$G$34,"&lt;&gt;")</f>
        <v>0</v>
      </c>
      <c r="D9" s="20" t="n">
        <f aca="false">AVERAGEIF('Skills Matrix'!$B$5:$B$34,A9,'Skills Matrix'!$E$5:$E$34)</f>
        <v>3.33333333333333</v>
      </c>
      <c r="E9" s="20" t="str">
        <f aca="false">IFERROR(AVERAGEIF('Skills Matrix'!$B$5:$B$34,A9,'Skills Matrix'!$G$5:$G$34),"—")</f>
        <v>—</v>
      </c>
      <c r="F9" s="20" t="str">
        <f aca="false">IFERROR(AVERAGEIF('Skills Matrix'!$B$5:$B$34,A9,'Skills Matrix'!$I$5:$I$34),"—")</f>
        <v>—</v>
      </c>
      <c r="G9" s="12" t="n">
        <f aca="false">SUMIF('Skills Matrix'!$B$5:$B$34,A9,'Skills Matrix'!$J$5:$J$34)</f>
        <v>0</v>
      </c>
      <c r="H9" s="12" t="n">
        <f aca="false">COUNTIFS('Skills Matrix'!$B$5:$B$34,A9,'Skills Matrix'!$K$5:$K$34,"High")</f>
        <v>0</v>
      </c>
    </row>
    <row r="10" customFormat="false" ht="15" hidden="false" customHeight="false" outlineLevel="0" collapsed="false">
      <c r="A10" s="19" t="s">
        <v>167</v>
      </c>
      <c r="B10" s="12" t="n">
        <f aca="false">COUNTIF('Skills Matrix'!$B$5:$B$34,A10)</f>
        <v>4</v>
      </c>
      <c r="C10" s="12" t="n">
        <f aca="false">COUNTIFS('Skills Matrix'!$B$5:$B$34,A10,'Skills Matrix'!$G$5:$G$34,"&lt;&gt;")</f>
        <v>0</v>
      </c>
      <c r="D10" s="20" t="n">
        <f aca="false">AVERAGEIF('Skills Matrix'!$B$5:$B$34,A10,'Skills Matrix'!$E$5:$E$34)</f>
        <v>3.75</v>
      </c>
      <c r="E10" s="20" t="str">
        <f aca="false">IFERROR(AVERAGEIF('Skills Matrix'!$B$5:$B$34,A10,'Skills Matrix'!$G$5:$G$34),"—")</f>
        <v>—</v>
      </c>
      <c r="F10" s="20" t="str">
        <f aca="false">IFERROR(AVERAGEIF('Skills Matrix'!$B$5:$B$34,A10,'Skills Matrix'!$I$5:$I$34),"—")</f>
        <v>—</v>
      </c>
      <c r="G10" s="12" t="n">
        <f aca="false">SUMIF('Skills Matrix'!$B$5:$B$34,A10,'Skills Matrix'!$J$5:$J$34)</f>
        <v>0</v>
      </c>
      <c r="H10" s="12" t="n">
        <f aca="false">COUNTIFS('Skills Matrix'!$B$5:$B$34,A10,'Skills Matrix'!$K$5:$K$34,"High")</f>
        <v>0</v>
      </c>
    </row>
    <row r="11" customFormat="false" ht="15" hidden="false" customHeight="false" outlineLevel="0" collapsed="false">
      <c r="A11" s="19" t="s">
        <v>187</v>
      </c>
      <c r="B11" s="12" t="n">
        <f aca="false">COUNTIF('Skills Matrix'!$B$5:$B$34,A11)</f>
        <v>2</v>
      </c>
      <c r="C11" s="12" t="n">
        <f aca="false">COUNTIFS('Skills Matrix'!$B$5:$B$34,A11,'Skills Matrix'!$G$5:$G$34,"&lt;&gt;")</f>
        <v>0</v>
      </c>
      <c r="D11" s="20" t="n">
        <f aca="false">AVERAGEIF('Skills Matrix'!$B$5:$B$34,A11,'Skills Matrix'!$E$5:$E$34)</f>
        <v>3</v>
      </c>
      <c r="E11" s="20" t="str">
        <f aca="false">IFERROR(AVERAGEIF('Skills Matrix'!$B$5:$B$34,A11,'Skills Matrix'!$G$5:$G$34),"—")</f>
        <v>—</v>
      </c>
      <c r="F11" s="20" t="str">
        <f aca="false">IFERROR(AVERAGEIF('Skills Matrix'!$B$5:$B$34,A11,'Skills Matrix'!$I$5:$I$34),"—")</f>
        <v>—</v>
      </c>
      <c r="G11" s="12" t="n">
        <f aca="false">SUMIF('Skills Matrix'!$B$5:$B$34,A11,'Skills Matrix'!$J$5:$J$34)</f>
        <v>0</v>
      </c>
      <c r="H11" s="12" t="n">
        <f aca="false">COUNTIFS('Skills Matrix'!$B$5:$B$34,A11,'Skills Matrix'!$K$5:$K$34,"High")</f>
        <v>0</v>
      </c>
    </row>
    <row r="12" customFormat="false" ht="15" hidden="false" customHeight="false" outlineLevel="0" collapsed="false">
      <c r="A12" s="16" t="s">
        <v>205</v>
      </c>
      <c r="B12" s="21" t="n">
        <f aca="false">SUM(B5:B11)</f>
        <v>30</v>
      </c>
      <c r="C12" s="21" t="n">
        <f aca="false">SUM(C5:C11)</f>
        <v>0</v>
      </c>
      <c r="G12" s="21" t="n">
        <f aca="false">SUM(G5:G11)</f>
        <v>0</v>
      </c>
      <c r="H12" s="21" t="n">
        <f aca="false">SUM(H5:H11)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42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0" t="s">
        <v>206</v>
      </c>
    </row>
    <row r="2" customFormat="false" ht="15" hidden="false" customHeight="false" outlineLevel="0" collapsed="false">
      <c r="A2" s="11" t="s">
        <v>207</v>
      </c>
    </row>
    <row r="4" customFormat="false" ht="15" hidden="false" customHeight="false" outlineLevel="0" collapsed="false">
      <c r="A4" s="16" t="s">
        <v>208</v>
      </c>
      <c r="C4" s="22" t="n">
        <v>46307</v>
      </c>
      <c r="D4" s="11" t="s">
        <v>209</v>
      </c>
    </row>
    <row r="5" customFormat="false" ht="15" hidden="false" customHeight="false" outlineLevel="0" collapsed="false">
      <c r="A5" s="16" t="s">
        <v>210</v>
      </c>
      <c r="C5" s="23" t="n">
        <f aca="false">COUNTIF(I8:I20,"Done")/COUNTA(A8:A20)</f>
        <v>0</v>
      </c>
      <c r="D5" s="3" t="str">
        <f aca="false">COUNTIF(I8:I20,"Done")&amp;" of "&amp;COUNTA(A8:A20)&amp;" weeks done · "&amp;SUM(H8:H20)&amp;" planned hours"</f>
        <v>0 of 13 weeks done · 132 planned hours</v>
      </c>
    </row>
    <row r="7" customFormat="false" ht="23.85" hidden="false" customHeight="false" outlineLevel="0" collapsed="false">
      <c r="A7" s="8" t="s">
        <v>211</v>
      </c>
      <c r="B7" s="8" t="s">
        <v>212</v>
      </c>
      <c r="C7" s="8" t="s">
        <v>213</v>
      </c>
      <c r="D7" s="8" t="s">
        <v>214</v>
      </c>
      <c r="E7" s="8" t="s">
        <v>215</v>
      </c>
      <c r="F7" s="8" t="s">
        <v>216</v>
      </c>
      <c r="G7" s="8" t="s">
        <v>217</v>
      </c>
      <c r="H7" s="8" t="s">
        <v>218</v>
      </c>
      <c r="I7" s="8" t="s">
        <v>219</v>
      </c>
      <c r="J7" s="8" t="s">
        <v>220</v>
      </c>
    </row>
    <row r="8" customFormat="false" ht="35.05" hidden="false" customHeight="false" outlineLevel="0" collapsed="false">
      <c r="A8" s="12" t="n">
        <v>1</v>
      </c>
      <c r="B8" s="24" t="n">
        <f aca="false">$C$4+7*(A8-1)</f>
        <v>46307</v>
      </c>
      <c r="C8" s="7" t="s">
        <v>221</v>
      </c>
      <c r="D8" s="25" t="s">
        <v>222</v>
      </c>
      <c r="E8" s="7" t="s">
        <v>223</v>
      </c>
      <c r="F8" s="7" t="s">
        <v>224</v>
      </c>
      <c r="G8" s="12" t="s">
        <v>225</v>
      </c>
      <c r="H8" s="13" t="n">
        <v>10</v>
      </c>
      <c r="I8" s="14" t="s">
        <v>226</v>
      </c>
      <c r="J8" s="15"/>
    </row>
    <row r="9" customFormat="false" ht="23.85" hidden="false" customHeight="false" outlineLevel="0" collapsed="false">
      <c r="A9" s="12" t="n">
        <v>2</v>
      </c>
      <c r="B9" s="24" t="n">
        <f aca="false">$C$4+7*(A9-1)</f>
        <v>46314</v>
      </c>
      <c r="C9" s="7" t="s">
        <v>221</v>
      </c>
      <c r="D9" s="25" t="s">
        <v>76</v>
      </c>
      <c r="E9" s="7" t="s">
        <v>227</v>
      </c>
      <c r="F9" s="7" t="s">
        <v>228</v>
      </c>
      <c r="G9" s="12" t="s">
        <v>229</v>
      </c>
      <c r="H9" s="13" t="n">
        <v>10</v>
      </c>
      <c r="I9" s="14" t="s">
        <v>226</v>
      </c>
      <c r="J9" s="15"/>
    </row>
    <row r="10" customFormat="false" ht="23.85" hidden="false" customHeight="false" outlineLevel="0" collapsed="false">
      <c r="A10" s="12" t="n">
        <v>3</v>
      </c>
      <c r="B10" s="24" t="n">
        <f aca="false">$C$4+7*(A10-1)</f>
        <v>46321</v>
      </c>
      <c r="C10" s="7" t="s">
        <v>221</v>
      </c>
      <c r="D10" s="25" t="s">
        <v>230</v>
      </c>
      <c r="E10" s="7" t="s">
        <v>231</v>
      </c>
      <c r="F10" s="7" t="s">
        <v>232</v>
      </c>
      <c r="G10" s="12" t="s">
        <v>233</v>
      </c>
      <c r="H10" s="13" t="n">
        <v>10</v>
      </c>
      <c r="I10" s="14" t="s">
        <v>226</v>
      </c>
      <c r="J10" s="15"/>
    </row>
    <row r="11" customFormat="false" ht="23.85" hidden="false" customHeight="false" outlineLevel="0" collapsed="false">
      <c r="A11" s="12" t="n">
        <v>4</v>
      </c>
      <c r="B11" s="24" t="n">
        <f aca="false">$C$4+7*(A11-1)</f>
        <v>46328</v>
      </c>
      <c r="C11" s="7" t="s">
        <v>221</v>
      </c>
      <c r="D11" s="25" t="s">
        <v>234</v>
      </c>
      <c r="E11" s="7" t="s">
        <v>235</v>
      </c>
      <c r="F11" s="7" t="s">
        <v>236</v>
      </c>
      <c r="G11" s="12" t="s">
        <v>237</v>
      </c>
      <c r="H11" s="13" t="n">
        <v>10</v>
      </c>
      <c r="I11" s="14" t="s">
        <v>226</v>
      </c>
      <c r="J11" s="15"/>
    </row>
    <row r="12" customFormat="false" ht="23.85" hidden="false" customHeight="false" outlineLevel="0" collapsed="false">
      <c r="A12" s="12" t="n">
        <v>5</v>
      </c>
      <c r="B12" s="24" t="n">
        <f aca="false">$C$4+7*(A12-1)</f>
        <v>46335</v>
      </c>
      <c r="C12" s="7" t="s">
        <v>238</v>
      </c>
      <c r="D12" s="25" t="s">
        <v>239</v>
      </c>
      <c r="E12" s="7" t="s">
        <v>240</v>
      </c>
      <c r="F12" s="7" t="s">
        <v>241</v>
      </c>
      <c r="G12" s="12" t="s">
        <v>95</v>
      </c>
      <c r="H12" s="13" t="n">
        <v>10</v>
      </c>
      <c r="I12" s="14" t="s">
        <v>226</v>
      </c>
      <c r="J12" s="15"/>
    </row>
    <row r="13" customFormat="false" ht="23.85" hidden="false" customHeight="false" outlineLevel="0" collapsed="false">
      <c r="A13" s="12" t="n">
        <v>6</v>
      </c>
      <c r="B13" s="24" t="n">
        <f aca="false">$C$4+7*(A13-1)</f>
        <v>46342</v>
      </c>
      <c r="C13" s="7" t="s">
        <v>238</v>
      </c>
      <c r="D13" s="25" t="s">
        <v>242</v>
      </c>
      <c r="E13" s="7" t="s">
        <v>243</v>
      </c>
      <c r="F13" s="7" t="s">
        <v>244</v>
      </c>
      <c r="G13" s="12" t="s">
        <v>245</v>
      </c>
      <c r="H13" s="13" t="n">
        <v>12</v>
      </c>
      <c r="I13" s="14" t="s">
        <v>226</v>
      </c>
      <c r="J13" s="15"/>
    </row>
    <row r="14" customFormat="false" ht="23.85" hidden="false" customHeight="false" outlineLevel="0" collapsed="false">
      <c r="A14" s="12" t="n">
        <v>7</v>
      </c>
      <c r="B14" s="24" t="n">
        <f aca="false">$C$4+7*(A14-1)</f>
        <v>46349</v>
      </c>
      <c r="C14" s="7" t="s">
        <v>238</v>
      </c>
      <c r="D14" s="25" t="s">
        <v>246</v>
      </c>
      <c r="E14" s="7" t="s">
        <v>247</v>
      </c>
      <c r="F14" s="7" t="s">
        <v>248</v>
      </c>
      <c r="G14" s="12" t="s">
        <v>249</v>
      </c>
      <c r="H14" s="13" t="n">
        <v>10</v>
      </c>
      <c r="I14" s="14" t="s">
        <v>226</v>
      </c>
      <c r="J14" s="15"/>
    </row>
    <row r="15" customFormat="false" ht="23.85" hidden="false" customHeight="false" outlineLevel="0" collapsed="false">
      <c r="A15" s="12" t="n">
        <v>8</v>
      </c>
      <c r="B15" s="24" t="n">
        <f aca="false">$C$4+7*(A15-1)</f>
        <v>46356</v>
      </c>
      <c r="C15" s="7" t="s">
        <v>238</v>
      </c>
      <c r="D15" s="25" t="s">
        <v>250</v>
      </c>
      <c r="E15" s="7" t="s">
        <v>251</v>
      </c>
      <c r="F15" s="7" t="s">
        <v>252</v>
      </c>
      <c r="G15" s="12" t="s">
        <v>253</v>
      </c>
      <c r="H15" s="13" t="n">
        <v>12</v>
      </c>
      <c r="I15" s="14" t="s">
        <v>226</v>
      </c>
      <c r="J15" s="15"/>
    </row>
    <row r="16" customFormat="false" ht="23.85" hidden="false" customHeight="false" outlineLevel="0" collapsed="false">
      <c r="A16" s="12" t="n">
        <v>9</v>
      </c>
      <c r="B16" s="24" t="n">
        <f aca="false">$C$4+7*(A16-1)</f>
        <v>46363</v>
      </c>
      <c r="C16" s="7" t="s">
        <v>254</v>
      </c>
      <c r="D16" s="25" t="s">
        <v>255</v>
      </c>
      <c r="E16" s="7" t="s">
        <v>256</v>
      </c>
      <c r="F16" s="7" t="s">
        <v>257</v>
      </c>
      <c r="G16" s="12" t="s">
        <v>258</v>
      </c>
      <c r="H16" s="13" t="n">
        <v>10</v>
      </c>
      <c r="I16" s="14" t="s">
        <v>226</v>
      </c>
      <c r="J16" s="15"/>
    </row>
    <row r="17" customFormat="false" ht="23.85" hidden="false" customHeight="false" outlineLevel="0" collapsed="false">
      <c r="A17" s="12" t="n">
        <v>10</v>
      </c>
      <c r="B17" s="24" t="n">
        <f aca="false">$C$4+7*(A17-1)</f>
        <v>46370</v>
      </c>
      <c r="C17" s="7" t="s">
        <v>254</v>
      </c>
      <c r="D17" s="25" t="s">
        <v>259</v>
      </c>
      <c r="E17" s="7" t="s">
        <v>260</v>
      </c>
      <c r="F17" s="7" t="s">
        <v>261</v>
      </c>
      <c r="G17" s="12" t="s">
        <v>262</v>
      </c>
      <c r="H17" s="13" t="n">
        <v>10</v>
      </c>
      <c r="I17" s="14" t="s">
        <v>226</v>
      </c>
      <c r="J17" s="15"/>
    </row>
    <row r="18" customFormat="false" ht="35.05" hidden="false" customHeight="false" outlineLevel="0" collapsed="false">
      <c r="A18" s="12" t="n">
        <v>11</v>
      </c>
      <c r="B18" s="24" t="n">
        <f aca="false">$C$4+7*(A18-1)</f>
        <v>46377</v>
      </c>
      <c r="C18" s="7" t="s">
        <v>254</v>
      </c>
      <c r="D18" s="25" t="s">
        <v>263</v>
      </c>
      <c r="E18" s="7" t="s">
        <v>264</v>
      </c>
      <c r="F18" s="7" t="s">
        <v>265</v>
      </c>
      <c r="G18" s="12" t="s">
        <v>266</v>
      </c>
      <c r="H18" s="13" t="n">
        <v>10</v>
      </c>
      <c r="I18" s="14" t="s">
        <v>226</v>
      </c>
      <c r="J18" s="15"/>
    </row>
    <row r="19" customFormat="false" ht="35.05" hidden="false" customHeight="false" outlineLevel="0" collapsed="false">
      <c r="A19" s="12" t="n">
        <v>12</v>
      </c>
      <c r="B19" s="24" t="n">
        <f aca="false">$C$4+7*(A19-1)</f>
        <v>46384</v>
      </c>
      <c r="C19" s="7" t="s">
        <v>267</v>
      </c>
      <c r="D19" s="25" t="s">
        <v>268</v>
      </c>
      <c r="E19" s="7" t="s">
        <v>269</v>
      </c>
      <c r="F19" s="7" t="s">
        <v>270</v>
      </c>
      <c r="G19" s="12" t="s">
        <v>271</v>
      </c>
      <c r="H19" s="13" t="n">
        <v>10</v>
      </c>
      <c r="I19" s="14" t="s">
        <v>226</v>
      </c>
      <c r="J19" s="15"/>
    </row>
    <row r="20" customFormat="false" ht="23.85" hidden="false" customHeight="false" outlineLevel="0" collapsed="false">
      <c r="A20" s="12" t="n">
        <v>13</v>
      </c>
      <c r="B20" s="24" t="n">
        <f aca="false">$C$4+7*(A20-1)</f>
        <v>46391</v>
      </c>
      <c r="C20" s="7" t="s">
        <v>267</v>
      </c>
      <c r="D20" s="25" t="s">
        <v>272</v>
      </c>
      <c r="E20" s="7" t="s">
        <v>273</v>
      </c>
      <c r="F20" s="7" t="s">
        <v>274</v>
      </c>
      <c r="G20" s="12" t="s">
        <v>275</v>
      </c>
      <c r="H20" s="13" t="n">
        <v>8</v>
      </c>
      <c r="I20" s="14" t="s">
        <v>226</v>
      </c>
      <c r="J20" s="15"/>
    </row>
    <row r="22" customFormat="false" ht="15" hidden="false" customHeight="false" outlineLevel="0" collapsed="false">
      <c r="A22" s="11" t="s">
        <v>276</v>
      </c>
    </row>
  </sheetData>
  <conditionalFormatting sqref="I8:I20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9">
      <formula>"Blocked"</formula>
    </cfRule>
  </conditionalFormatting>
  <dataValidations count="1">
    <dataValidation allowBlank="true" errorStyle="stop" operator="between" showDropDown="false" showErrorMessage="false" showInputMessage="false" sqref="I8:I2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2026-10-10T22:32:19Z</dcterms:created>
  <dc:creator>openpyxl</dc:creator>
  <dc:description/>
  <dc:language>en-US</dc:language>
  <cp:lastModifiedBy/>
  <dcterms:modified xsi:type="dcterms:W3CDTF">2026-10-10T22:32:19Z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